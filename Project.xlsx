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ivot Table 7" sheetId="2" r:id="rId6"/>
    <sheet state="visible" name="Pivot Table 6" sheetId="3" r:id="rId7"/>
    <sheet state="visible" name="Pivot Table 5" sheetId="4" r:id="rId8"/>
    <sheet state="visible" name="Pivot Table 4" sheetId="5" r:id="rId9"/>
    <sheet state="visible" name="Analysis" sheetId="6" r:id="rId10"/>
    <sheet state="visible" name="Pivot Table 3" sheetId="7" r:id="rId11"/>
    <sheet state="visible" name="Pivot Table 2" sheetId="8" r:id="rId12"/>
    <sheet state="visible" name="Pivot Table 1" sheetId="9" r:id="rId13"/>
    <sheet state="visible" name="Dashboard" sheetId="10" r:id="rId14"/>
  </sheets>
  <definedNames/>
  <calcPr/>
  <pivotCaches>
    <pivotCache cacheId="0" r:id="rId15"/>
    <pivotCache cacheId="1" r:id="rId16"/>
    <pivotCache cacheId="2" r:id="rId17"/>
  </pivotCaches>
</workbook>
</file>

<file path=xl/sharedStrings.xml><?xml version="1.0" encoding="utf-8"?>
<sst xmlns="http://schemas.openxmlformats.org/spreadsheetml/2006/main" count="1883" uniqueCount="344">
  <si>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</si>
  <si>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</si>
  <si>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</si>
  <si>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</si>
  <si>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</si>
  <si>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</si>
  <si>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</si>
  <si>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</si>
  <si>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</si>
  <si>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CUST001</t>
  </si>
  <si>
    <t>Female</t>
  </si>
  <si>
    <t>Beauty</t>
  </si>
  <si>
    <t>CUST002</t>
  </si>
  <si>
    <t>CUST003</t>
  </si>
  <si>
    <t>CUST004</t>
  </si>
  <si>
    <t>Home</t>
  </si>
  <si>
    <t>CUST005</t>
  </si>
  <si>
    <t>Male</t>
  </si>
  <si>
    <t>CUST006</t>
  </si>
  <si>
    <t>CUST007</t>
  </si>
  <si>
    <t>Clothing</t>
  </si>
  <si>
    <t>CUST008</t>
  </si>
  <si>
    <t>Electronics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</si>
  <si>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</si>
  <si>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</si>
  <si>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</si>
  <si>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</si>
  <si>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</si>
  <si>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</si>
  <si>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</si>
  <si>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</si>
  <si>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</si>
  <si>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</si>
  <si>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</si>
  <si>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</si>
  <si>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</si>
  <si>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</si>
  <si>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</si>
  <si>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</si>
  <si>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</si>
  <si>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</si>
  <si>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</si>
  <si>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</si>
  <si>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</si>
  <si>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</si>
  <si>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</si>
  <si>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</si>
  <si>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</si>
  <si>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</si>
  <si>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</si>
  <si>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</si>
  <si>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</si>
  <si>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</si>
  <si>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</si>
  <si>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Groceries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</si>
  <si>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</si>
  <si>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</si>
  <si>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</si>
  <si>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</si>
  <si>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</si>
  <si>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</si>
  <si>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</si>
  <si>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</si>
  <si>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</si>
  <si>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</si>
  <si>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</si>
  <si>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</si>
  <si>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</si>
  <si>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</si>
  <si>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</si>
  <si>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</si>
  <si>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</si>
  <si>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</si>
  <si>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</si>
  <si>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</si>
  <si>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</si>
  <si>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</si>
  <si>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</si>
  <si>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</si>
  <si>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</si>
  <si>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</si>
  <si>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</si>
  <si>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</si>
  <si>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</si>
  <si>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</si>
  <si>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</si>
  <si>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</si>
  <si>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</si>
  <si>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</si>
  <si>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</si>
  <si>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</si>
  <si>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</si>
  <si>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</si>
  <si>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</si>
  <si>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</si>
  <si>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</si>
  <si>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</si>
  <si>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</si>
  <si>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</si>
  <si>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</si>
  <si>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</si>
  <si>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</si>
  <si>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</si>
  <si>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</si>
  <si>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</si>
  <si>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</si>
  <si>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</si>
  <si>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</si>
  <si>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</si>
  <si>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</si>
  <si>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</si>
  <si>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</si>
  <si>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</si>
  <si>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</si>
  <si>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</si>
  <si>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</si>
  <si>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</si>
  <si>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</si>
  <si>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</si>
  <si>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</si>
  <si>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</si>
  <si>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SUM of Total Amount</t>
  </si>
  <si>
    <t>CUST106</t>
  </si>
  <si>
    <t>CUST107</t>
  </si>
  <si>
    <t>CUST108</t>
  </si>
  <si>
    <t>Grand Total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</si>
  <si>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</si>
  <si>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</si>
  <si>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</si>
  <si>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</si>
  <si>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</si>
  <si>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</si>
  <si>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</si>
  <si>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</si>
  <si>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</si>
  <si>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</si>
  <si>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</si>
  <si>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</si>
  <si>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</si>
  <si>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</si>
  <si>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</si>
  <si>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</si>
  <si>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</si>
  <si>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</si>
  <si>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</si>
  <si>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</si>
  <si>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</si>
  <si>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</si>
  <si>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</si>
  <si>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</si>
  <si>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</si>
  <si>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SUM of Quantity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</si>
  <si>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</si>
  <si>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</si>
  <si>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</si>
  <si>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</si>
  <si>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</si>
  <si>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</si>
  <si>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</si>
  <si>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</si>
  <si>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</si>
  <si>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</si>
  <si>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</si>
  <si>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</si>
  <si>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</si>
  <si>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</si>
  <si>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</si>
  <si>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</si>
  <si>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</si>
  <si>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</si>
  <si>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</si>
  <si>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</si>
  <si>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</si>
  <si>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</si>
  <si>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</si>
  <si>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</si>
  <si>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</si>
  <si>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</si>
  <si>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</si>
  <si>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</si>
  <si>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</si>
  <si>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</si>
  <si>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</si>
  <si>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</si>
  <si>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</si>
  <si>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</si>
  <si>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</si>
  <si>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</si>
  <si>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</si>
  <si>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</si>
  <si>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</si>
  <si>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</si>
  <si>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</si>
  <si>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</si>
  <si>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</si>
  <si>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</si>
  <si>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</si>
  <si>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</si>
  <si>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</si>
  <si>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</si>
  <si>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</si>
  <si>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</si>
  <si>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</si>
  <si>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</si>
  <si>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</si>
  <si>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</si>
  <si>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</si>
  <si>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</si>
  <si>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</si>
  <si>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</si>
  <si>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</si>
  <si>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</si>
  <si>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</si>
  <si>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</si>
  <si>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</si>
  <si>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</si>
  <si>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</si>
  <si>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</si>
  <si>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</si>
  <si>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</si>
  <si>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</si>
  <si>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</si>
  <si>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</si>
  <si>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</si>
  <si>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</si>
  <si>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</si>
  <si>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</si>
  <si>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</si>
  <si>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</si>
  <si>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</si>
  <si>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</si>
  <si>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</si>
  <si>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</si>
  <si>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</si>
  <si>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</si>
  <si>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</si>
  <si>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</si>
  <si>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</si>
  <si>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</si>
  <si>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</si>
  <si>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</si>
  <si>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</si>
  <si>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</si>
  <si>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</si>
  <si>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</si>
  <si>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</si>
  <si>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</si>
  <si>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</si>
  <si>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</si>
  <si>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</si>
  <si>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</si>
  <si>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</si>
  <si>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</si>
  <si>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</si>
  <si>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</si>
  <si>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</si>
  <si>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</si>
  <si>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</si>
  <si>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</si>
  <si>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</si>
  <si>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</si>
  <si>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</si>
  <si>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</si>
  <si>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</si>
  <si>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</si>
  <si>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</si>
  <si>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</si>
  <si>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</si>
  <si>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</si>
  <si>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</si>
  <si>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</si>
  <si>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</si>
  <si>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</si>
  <si>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</si>
  <si>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</si>
  <si>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</si>
  <si>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</si>
  <si>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</si>
  <si>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</si>
  <si>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</si>
  <si>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</si>
  <si>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</si>
  <si>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</si>
  <si>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</si>
  <si>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</si>
  <si>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</si>
  <si>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</si>
  <si>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</si>
  <si>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</si>
  <si>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</si>
  <si>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</si>
  <si>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</si>
  <si>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</si>
  <si>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</si>
  <si>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</si>
  <si>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</si>
  <si>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</si>
  <si>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</si>
  <si>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</si>
  <si>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</si>
  <si>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</si>
  <si>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</si>
  <si>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</si>
  <si>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</si>
  <si>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</si>
  <si>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</si>
  <si>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</si>
  <si>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</si>
  <si>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</si>
  <si>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</si>
  <si>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</si>
  <si>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</si>
  <si>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</si>
  <si>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</si>
  <si>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</si>
  <si>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</si>
  <si>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</si>
  <si>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</si>
  <si>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</si>
  <si>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Year</t>
  </si>
  <si>
    <t>Month</t>
  </si>
  <si>
    <t>High Value</t>
  </si>
  <si>
    <t>Sales Summary</t>
  </si>
  <si>
    <t>Total Revenue</t>
  </si>
  <si>
    <t>Average Transaction</t>
  </si>
  <si>
    <t xml:space="preserve">Highest Transaction </t>
  </si>
  <si>
    <t>Lowest Transaction</t>
  </si>
  <si>
    <t>RETAIL SALES ANALYSIS DASHBOARD</t>
  </si>
  <si>
    <t>Total Transactions</t>
  </si>
  <si>
    <t>Average Revenue</t>
  </si>
  <si>
    <t>Total Quantity Sold</t>
  </si>
  <si>
    <t>Date - 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</si>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</sst>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[$₦]#,##0.00"/>
    <numFmt numFmtId="166" formatCode="m/d/yyyy h:mm:ss"/>
  </numFmts>
  <fonts count="8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color theme="1"/>
      <name val="Arial"/>
      <scheme val="minor"/>
    </font>
    <font>
      <b/>
      <sz val="19.0"/>
      <color theme="1"/>
      <name val="Arial"/>
      <scheme val="minor"/>
    </font>
    <font>
      <b/>
      <color theme="1"/>
      <name val="Arial"/>
      <scheme val="minor"/>
    </font>
    <font>
      <sz val="14.0"/>
      <color theme="1"/>
      <name val="Arial"/>
      <scheme val="minor"/>
    </font>
    <font>
      <b/>
      <sz val="14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readingOrder="0" shrinkToFit="0" vertical="bottom" wrapText="0"/>
    </xf>
    <xf borderId="0" fillId="0" fontId="3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2" fontId="6" numFmtId="165" xfId="0" applyFill="1" applyFont="1" applyNumberFormat="1"/>
    <xf borderId="0" fillId="2" fontId="7" numFmtId="0" xfId="0" applyFill="1" applyFont="1"/>
    <xf borderId="0" fillId="2" fontId="6" numFmtId="165" xfId="0" applyFill="1" applyFont="1" applyNumberFormat="1"/>
    <xf borderId="0" fillId="2" fontId="6" numFmtId="0" xfId="0" applyFill="1" applyFont="1"/>
    <xf borderId="0" fillId="0" fontId="3" numFmtId="16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4" Type="http://schemas.openxmlformats.org/officeDocument/2006/relationships/worksheet" Target="worksheets/sheet10.xml"/><Relationship Id="rId17" Type="http://schemas.openxmlformats.org/officeDocument/2006/relationships/pivotCacheDefinition" Target="pivotCache/pivotCacheDefinition3.xml"/><Relationship Id="rId16" Type="http://schemas.openxmlformats.org/officeDocument/2006/relationships/pivotCacheDefinition" Target="pivotCache/pivotCacheDefinition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Quantity Sold by  Product Category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7'!$B$1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'Pivot Table 7'!$A$2:$A$6</c:f>
            </c:strRef>
          </c:cat>
          <c:val>
            <c:numRef>
              <c:f>'Pivot Table 7'!$B$2:$B$6</c:f>
              <c:numCache/>
            </c:numRef>
          </c:val>
        </c:ser>
        <c:axId val="1876411674"/>
        <c:axId val="1207349785"/>
      </c:barChart>
      <c:catAx>
        <c:axId val="18764116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 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7349785"/>
      </c:catAx>
      <c:valAx>
        <c:axId val="12073497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Quantity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7641167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Sales by  Month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6'!$B$1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'Pivot Table 6'!$A$2:$A$13</c:f>
            </c:strRef>
          </c:cat>
          <c:val>
            <c:numRef>
              <c:f>'Pivot Table 6'!$B$2:$B$13</c:f>
              <c:numCache/>
            </c:numRef>
          </c:val>
        </c:ser>
        <c:axId val="1086770987"/>
        <c:axId val="180391246"/>
      </c:barChart>
      <c:catAx>
        <c:axId val="10867709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 - 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0391246"/>
      </c:catAx>
      <c:valAx>
        <c:axId val="1803912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Total Amount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677098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Sales by Gender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'Pivot Table 5'!$B$1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'Pivot Table 5'!$A$2:$A$3</c:f>
            </c:strRef>
          </c:cat>
          <c:val>
            <c:numRef>
              <c:f>'Pivot Table 5'!$B$2:$B$3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Sales by Product Category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4'!$B$1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'Pivot Table 4'!$A$2:$A$6</c:f>
            </c:strRef>
          </c:cat>
          <c:val>
            <c:numRef>
              <c:f>'Pivot Table 4'!$B$2:$B$6</c:f>
              <c:numCache/>
            </c:numRef>
          </c:val>
        </c:ser>
        <c:axId val="1032902507"/>
        <c:axId val="1639402403"/>
      </c:barChart>
      <c:catAx>
        <c:axId val="10329025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 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9402403"/>
      </c:catAx>
      <c:valAx>
        <c:axId val="16394024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Total Amount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290250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Monthly Revenue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'Pivot Table 3'!$B$1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'Pivot Table 3'!$A$2:$A$13</c:f>
            </c:strRef>
          </c:cat>
          <c:val>
            <c:numRef>
              <c:f>'Pivot Table 3'!$B$2:$B$13</c:f>
              <c:numCache/>
            </c:numRef>
          </c:val>
          <c:smooth val="0"/>
        </c:ser>
        <c:axId val="184916577"/>
        <c:axId val="2089624145"/>
      </c:lineChart>
      <c:catAx>
        <c:axId val="1849165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9624145"/>
      </c:catAx>
      <c:valAx>
        <c:axId val="20896241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Total Amount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91657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 By Product Category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1'!$B$1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'Pivot Table 1'!$A$2:$A$6</c:f>
            </c:strRef>
          </c:cat>
          <c:val>
            <c:numRef>
              <c:f>'Pivot Table 1'!$B$2:$B$6</c:f>
              <c:numCache/>
            </c:numRef>
          </c:val>
        </c:ser>
        <c:axId val="772720295"/>
        <c:axId val="306279894"/>
      </c:barChart>
      <c:catAx>
        <c:axId val="7727202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 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06279894"/>
      </c:catAx>
      <c:valAx>
        <c:axId val="3062798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Total Amount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272029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Quantity Sold by  Product Category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7'!$B$1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'Pivot Table 7'!$A$2:$A$6</c:f>
            </c:strRef>
          </c:cat>
          <c:val>
            <c:numRef>
              <c:f>'Pivot Table 7'!$B$2:$B$6</c:f>
              <c:numCache/>
            </c:numRef>
          </c:val>
        </c:ser>
        <c:axId val="2087709783"/>
        <c:axId val="1253144612"/>
      </c:barChart>
      <c:catAx>
        <c:axId val="20877097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 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3144612"/>
      </c:catAx>
      <c:valAx>
        <c:axId val="12531446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Quantity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770978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Sales by Product Category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4'!$B$1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'Pivot Table 4'!$A$2:$A$6</c:f>
            </c:strRef>
          </c:cat>
          <c:val>
            <c:numRef>
              <c:f>'Pivot Table 4'!$B$2:$B$6</c:f>
              <c:numCache/>
            </c:numRef>
          </c:val>
        </c:ser>
        <c:axId val="1390580990"/>
        <c:axId val="515235714"/>
      </c:barChart>
      <c:catAx>
        <c:axId val="13905809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 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15235714"/>
      </c:catAx>
      <c:valAx>
        <c:axId val="5152357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Total Amount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058099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Sales by Gender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'Pivot Table 5'!$B$1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'Pivot Table 5'!$A$2:$A$3</c:f>
            </c:strRef>
          </c:cat>
          <c:val>
            <c:numRef>
              <c:f>'Pivot Table 5'!$B$2:$B$3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Sales by  Month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6'!$B$1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'Pivot Table 6'!$A$2:$A$13</c:f>
            </c:strRef>
          </c:cat>
          <c:val>
            <c:numRef>
              <c:f>'Pivot Table 6'!$B$2:$B$13</c:f>
              <c:numCache/>
            </c:numRef>
          </c:val>
        </c:ser>
        <c:axId val="1684702085"/>
        <c:axId val="443165918"/>
      </c:barChart>
      <c:catAx>
        <c:axId val="16847020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 - 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3165918"/>
      </c:catAx>
      <c:valAx>
        <c:axId val="4431659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Total Amount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8470208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962025</xdr:colOff>
      <xdr:row>21</xdr:row>
      <xdr:rowOff>200025</xdr:rowOff>
    </xdr:from>
    <xdr:ext cx="4295775" cy="33432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4</xdr:row>
      <xdr:rowOff>9525</xdr:rowOff>
    </xdr:from>
    <xdr:ext cx="4295775" cy="33051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</xdr:col>
      <xdr:colOff>962025</xdr:colOff>
      <xdr:row>4</xdr:row>
      <xdr:rowOff>9525</xdr:rowOff>
    </xdr:from>
    <xdr:ext cx="4295775" cy="33051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0</xdr:colOff>
      <xdr:row>21</xdr:row>
      <xdr:rowOff>200025</xdr:rowOff>
    </xdr:from>
    <xdr:ext cx="4295775" cy="334327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301" sheet="Raw Data"/>
  </cacheSource>
  <cacheFields>
    <cacheField name="Transaction 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</sharedItems>
    </cacheField>
    <cacheField name="Date" numFmtId="164">
      <sharedItems containsSemiMixedTypes="0" containsDate="1" containsString="0">
        <d v="2025-11-24T00:00:00Z"/>
        <d v="2025-03-13T00:00:00Z"/>
        <d v="2025-08-05T00:00:00Z"/>
        <d v="2025-09-16T00:00:00Z"/>
        <d v="2025-12-26T00:00:00Z"/>
        <d v="2025-05-23T00:00:00Z"/>
        <d v="2025-03-21T00:00:00Z"/>
        <d v="2025-02-19T00:00:00Z"/>
        <d v="2025-08-24T00:00:00Z"/>
        <d v="2025-05-31T00:00:00Z"/>
        <d v="2025-01-24T00:00:00Z"/>
        <d v="2025-07-14T00:00:00Z"/>
        <d v="2025-07-01T00:00:00Z"/>
        <d v="2025-05-06T00:00:00Z"/>
        <d v="2025-12-19T00:00:00Z"/>
        <d v="2025-01-17T00:00:00Z"/>
        <d v="2025-10-18T00:00:00Z"/>
        <d v="2025-08-23T00:00:00Z"/>
        <d v="2025-10-03T00:00:00Z"/>
        <d v="2025-04-23T00:00:00Z"/>
        <d v="2025-02-26T00:00:00Z"/>
        <d v="2025-07-15T00:00:00Z"/>
        <d v="2025-01-06T00:00:00Z"/>
        <d v="2025-06-24T00:00:00Z"/>
        <d v="2025-01-02T00:00:00Z"/>
        <d v="2025-06-02T00:00:00Z"/>
        <d v="2025-03-24T00:00:00Z"/>
        <d v="2025-01-10T00:00:00Z"/>
        <d v="2025-05-04T00:00:00Z"/>
        <d v="2025-09-30T00:00:00Z"/>
        <d v="2025-09-28T00:00:00Z"/>
        <d v="2025-07-24T00:00:00Z"/>
        <d v="2025-05-07T00:00:00Z"/>
        <d v="2025-10-11T00:00:00Z"/>
        <d v="2025-01-31T00:00:00Z"/>
        <d v="2025-09-21T00:00:00Z"/>
        <d v="2025-03-09T00:00:00Z"/>
        <d v="2025-07-28T00:00:00Z"/>
        <d v="2025-07-26T00:00:00Z"/>
        <d v="2025-10-02T00:00:00Z"/>
        <d v="2025-08-25T00:00:00Z"/>
        <d v="2025-11-30T00:00:00Z"/>
        <d v="2025-03-26T00:00:00Z"/>
        <d v="2025-05-27T00:00:00Z"/>
        <d v="2025-04-08T00:00:00Z"/>
        <d v="2025-01-30T00:00:00Z"/>
        <d v="2025-09-18T00:00:00Z"/>
        <d v="2025-02-11T00:00:00Z"/>
        <d v="2025-04-15T00:00:00Z"/>
        <d v="2025-12-10T00:00:00Z"/>
        <d v="2025-04-20T00:00:00Z"/>
        <d v="2025-12-27T00:00:00Z"/>
        <d v="2025-02-23T00:00:00Z"/>
        <d v="2025-02-17T00:00:00Z"/>
        <d v="2025-03-08T00:00:00Z"/>
        <d v="2025-01-05T00:00:00Z"/>
        <d v="2025-10-26T00:00:00Z"/>
        <d v="2025-06-07T00:00:00Z"/>
        <d v="2025-12-08T00:00:00Z"/>
        <d v="2025-04-02T00:00:00Z"/>
        <d v="2025-04-13T00:00:00Z"/>
        <d v="2025-01-13T00:00:00Z"/>
        <d v="2025-03-01T00:00:00Z"/>
        <d v="2025-02-25T00:00:00Z"/>
        <d v="2025-11-07T00:00:00Z"/>
        <d v="2025-01-23T00:00:00Z"/>
        <d v="2025-08-09T00:00:00Z"/>
        <d v="2025-03-05T00:00:00Z"/>
        <d v="2025-08-15T00:00:00Z"/>
        <d v="2025-12-04T00:00:00Z"/>
        <d v="2025-05-01T00:00:00Z"/>
        <d v="2025-08-01T00:00:00Z"/>
        <d v="2025-05-05T00:00:00Z"/>
        <d v="2025-04-01T00:00:00Z"/>
        <d v="2025-08-22T00:00:00Z"/>
        <d v="2025-11-10T00:00:00Z"/>
        <d v="2025-09-01T00:00:00Z"/>
        <d v="2025-09-06T00:00:00Z"/>
        <d v="2025-03-19T00:00:00Z"/>
        <d v="2025-02-01T00:00:00Z"/>
        <d v="2025-08-03T00:00:00Z"/>
        <d v="2025-06-22T00:00:00Z"/>
        <d v="2025-11-15T00:00:00Z"/>
        <d v="2025-11-26T00:00:00Z"/>
        <d v="2025-05-14T00:00:00Z"/>
        <d v="2025-08-29T00:00:00Z"/>
        <d v="2025-04-25T00:00:00Z"/>
        <d v="2025-08-31T00:00:00Z"/>
        <d v="2025-07-08T00:00:00Z"/>
        <d v="2025-10-24T00:00:00Z"/>
        <d v="2025-04-12T00:00:00Z"/>
        <d v="2025-12-17T00:00:00Z"/>
        <d v="2025-11-28T00:00:00Z"/>
        <d v="2025-08-10T00:00:00Z"/>
        <d v="2025-09-25T00:00:00Z"/>
        <d v="2025-10-31T00:00:00Z"/>
        <d v="2025-08-19T00:00:00Z"/>
        <d v="2025-01-15T00:00:00Z"/>
        <d v="2025-09-08T00:00:00Z"/>
        <d v="2025-01-09T00:00:00Z"/>
        <d v="2025-06-06T00:00:00Z"/>
        <d v="2025-10-09T00:00:00Z"/>
        <d v="2025-05-09T00:00:00Z"/>
        <d v="2025-10-29T00:00:00Z"/>
        <d v="2025-06-01T00:00:00Z"/>
        <d v="2025-12-29T00:00:00Z"/>
        <d v="2025-10-21T00:00:00Z"/>
        <d v="2025-04-05T00:00:00Z"/>
        <d v="2025-07-25T00:00:00Z"/>
        <d v="2025-03-18T00:00:00Z"/>
        <d v="2025-10-13T00:00:00Z"/>
        <d v="2025-10-19T00:00:00Z"/>
        <d v="2025-11-17T00:00:00Z"/>
        <d v="2025-03-30T00:00:00Z"/>
        <d v="2025-05-28T00:00:00Z"/>
        <d v="2025-10-06T00:00:00Z"/>
        <d v="2025-09-14T00:00:00Z"/>
        <d v="2025-01-21T00:00:00Z"/>
        <d v="2025-02-16T00:00:00Z"/>
        <d v="2025-10-27T00:00:00Z"/>
        <d v="2025-06-28T00:00:00Z"/>
        <d v="2025-06-18T00:00:00Z"/>
        <d v="2025-05-10T00:00:00Z"/>
        <d v="2025-10-05T00:00:00Z"/>
        <d v="2025-07-05T00:00:00Z"/>
        <d v="2025-05-17T00:00:00Z"/>
        <d v="2025-03-04T00:00:00Z"/>
        <d v="2025-06-09T00:00:00Z"/>
        <d v="2025-04-26T00:00:00Z"/>
        <d v="2025-05-30T00:00:00Z"/>
        <d v="2025-08-30T00:00:00Z"/>
        <d v="2025-06-14T00:00:00Z"/>
        <d v="2025-07-30T00:00:00Z"/>
        <d v="2025-12-06T00:00:00Z"/>
        <d v="2025-10-30T00:00:00Z"/>
        <d v="2025-12-21T00:00:00Z"/>
        <d v="2025-02-05T00:00:00Z"/>
        <d v="2025-02-20T00:00:00Z"/>
        <d v="2025-12-16T00:00:00Z"/>
        <d v="2025-03-15T00:00:00Z"/>
        <d v="2025-06-04T00:00:00Z"/>
        <d v="2025-01-12T00:00:00Z"/>
        <d v="2025-09-12T00:00:00Z"/>
        <d v="2025-11-22T00:00:00Z"/>
        <d v="2025-11-27T00:00:00Z"/>
        <d v="2025-07-06T00:00:00Z"/>
        <d v="2025-03-31T00:00:00Z"/>
        <d v="2025-06-23T00:00:00Z"/>
        <d v="2025-12-13T00:00:00Z"/>
        <d v="2025-01-08T00:00:00Z"/>
        <d v="2025-12-11T00:00:00Z"/>
        <d v="2025-04-24T00:00:00Z"/>
        <d v="2025-07-29T00:00:00Z"/>
        <d v="2025-09-10T00:00:00Z"/>
        <d v="2025-08-21T00:00:00Z"/>
        <d v="2025-12-02T00:00:00Z"/>
        <d v="2025-07-23T00:00:00Z"/>
        <d v="2025-03-06T00:00:00Z"/>
        <d v="2025-04-21T00:00:00Z"/>
        <d v="2025-03-16T00:00:00Z"/>
        <d v="2025-01-14T00:00:00Z"/>
        <d v="2025-06-15T00:00:00Z"/>
        <d v="2025-08-04T00:00:00Z"/>
        <d v="2025-12-18T00:00:00Z"/>
        <d v="2025-11-16T00:00:00Z"/>
        <d v="2025-09-29T00:00:00Z"/>
        <d v="2025-08-20T00:00:00Z"/>
        <d v="2025-05-11T00:00:00Z"/>
        <d v="2025-02-13T00:00:00Z"/>
        <d v="2025-10-12T00:00:00Z"/>
        <d v="2025-11-04T00:00:00Z"/>
        <d v="2025-12-03T00:00:00Z"/>
        <d v="2025-10-15T00:00:00Z"/>
        <d v="2025-03-22T00:00:00Z"/>
        <d v="2025-12-05T00:00:00Z"/>
        <d v="2025-05-20T00:00:00Z"/>
        <d v="2025-03-03T00:00:00Z"/>
        <d v="2025-06-10T00:00:00Z"/>
        <d v="2025-08-02T00:00:00Z"/>
        <d v="2025-03-29T00:00:00Z"/>
        <d v="2025-02-24T00:00:00Z"/>
        <d v="2025-02-10T00:00:00Z"/>
        <d v="2025-03-28T00:00:00Z"/>
        <d v="2025-06-29T00:00:00Z"/>
        <d v="2025-02-04T00:00:00Z"/>
        <d v="2025-01-29T00:00:00Z"/>
        <d v="2025-10-25T00:00:00Z"/>
        <d v="2025-09-26T00:00:00Z"/>
        <d v="2025-05-25T00:00:00Z"/>
        <d v="2025-12-14T00:00:00Z"/>
        <d v="2025-10-14T00:00:00Z"/>
        <d v="2025-04-09T00:00:00Z"/>
        <d v="2025-02-21T00:00:00Z"/>
        <d v="2025-03-25T00:00:00Z"/>
        <d v="2025-04-30T00:00:00Z"/>
        <d v="2025-09-15T00:00:00Z"/>
        <d v="2025-03-12T00:00:00Z"/>
        <d v="2025-02-22T00:00:00Z"/>
        <d v="2025-07-22T00:00:00Z"/>
        <d v="2025-07-11T00:00:00Z"/>
        <d v="2025-06-21T00:00:00Z"/>
        <d v="2025-12-23T00:00:00Z"/>
        <d v="2025-11-02T00:00:00Z"/>
        <d v="2025-10-20T00:00:00Z"/>
        <d v="2025-09-27T00:00:00Z"/>
        <d v="2025-11-18T00:00:00Z"/>
        <d v="2025-06-30T00:00:00Z"/>
        <d v="2025-11-20T00:00:00Z"/>
      </sharedItems>
    </cacheField>
    <cacheField name="Customer ID" numFmtId="0">
      <sharedItems>
        <s v="CUST001"/>
        <s v="CUST002"/>
        <s v="CUST003"/>
        <s v="CUST004"/>
        <s v="CUST005"/>
        <s v="CUST006"/>
        <s v="CUST007"/>
        <s v="CUST008"/>
        <s v="CUST009"/>
        <s v="CUST010"/>
        <s v="CUST011"/>
        <s v="CUST012"/>
        <s v="CUST013"/>
        <s v="CUST014"/>
        <s v="CUST015"/>
        <s v="CUST016"/>
        <s v="CUST017"/>
        <s v="CUST018"/>
        <s v="CUST019"/>
        <s v="CUST020"/>
        <s v="CUST021"/>
        <s v="CUST022"/>
        <s v="CUST023"/>
        <s v="CUST024"/>
        <s v="CUST025"/>
        <s v="CUST026"/>
        <s v="CUST027"/>
        <s v="CUST028"/>
        <s v="CUST029"/>
        <s v="CUST030"/>
        <s v="CUST031"/>
        <s v="CUST032"/>
        <s v="CUST033"/>
        <s v="CUST034"/>
        <s v="CUST035"/>
        <s v="CUST036"/>
        <s v="CUST037"/>
        <s v="CUST038"/>
        <s v="CUST039"/>
        <s v="CUST040"/>
        <s v="CUST041"/>
        <s v="CUST042"/>
        <s v="CUST043"/>
        <s v="CUST044"/>
        <s v="CUST045"/>
        <s v="CUST046"/>
        <s v="CUST047"/>
        <s v="CUST048"/>
        <s v="CUST049"/>
        <s v="CUST050"/>
        <s v="CUST051"/>
        <s v="CUST052"/>
        <s v="CUST053"/>
        <s v="CUST054"/>
        <s v="CUST055"/>
        <s v="CUST056"/>
        <s v="CUST057"/>
        <s v="CUST058"/>
        <s v="CUST059"/>
        <s v="CUST060"/>
        <s v="CUST061"/>
        <s v="CUST062"/>
        <s v="CUST063"/>
        <s v="CUST064"/>
        <s v="CUST065"/>
        <s v="CUST066"/>
        <s v="CUST067"/>
        <s v="CUST068"/>
        <s v="CUST069"/>
        <s v="CUST070"/>
        <s v="CUST071"/>
        <s v="CUST072"/>
        <s v="CUST073"/>
        <s v="CUST074"/>
        <s v="CUST075"/>
        <s v="CUST076"/>
        <s v="CUST077"/>
        <s v="CUST078"/>
        <s v="CUST079"/>
        <s v="CUST080"/>
        <s v="CUST081"/>
        <s v="CUST082"/>
        <s v="CUST083"/>
        <s v="CUST084"/>
        <s v="CUST085"/>
        <s v="CUST086"/>
        <s v="CUST087"/>
        <s v="CUST088"/>
        <s v="CUST089"/>
        <s v="CUST090"/>
        <s v="CUST091"/>
        <s v="CUST092"/>
        <s v="CUST093"/>
        <s v="CUST094"/>
        <s v="CUST095"/>
        <s v="CUST096"/>
        <s v="CUST097"/>
        <s v="CUST098"/>
        <s v="CUST099"/>
        <s v="CUST100"/>
        <s v="CUST101"/>
        <s v="CUST102"/>
        <s v="CUST103"/>
        <s v="CUST104"/>
        <s v="CUST105"/>
        <s v="CUST106"/>
        <s v="CUST107"/>
        <s v="CUST108"/>
        <s v="CUST109"/>
        <s v="CUST110"/>
        <s v="CUST111"/>
        <s v="CUST112"/>
        <s v="CUST113"/>
        <s v="CUST114"/>
        <s v="CUST115"/>
        <s v="CUST116"/>
        <s v="CUST117"/>
        <s v="CUST118"/>
        <s v="CUST119"/>
        <s v="CUST120"/>
        <s v="CUST121"/>
        <s v="CUST122"/>
        <s v="CUST123"/>
        <s v="CUST124"/>
        <s v="CUST125"/>
        <s v="CUST126"/>
        <s v="CUST127"/>
        <s v="CUST128"/>
        <s v="CUST129"/>
        <s v="CUST130"/>
        <s v="CUST131"/>
        <s v="CUST132"/>
        <s v="CUST133"/>
        <s v="CUST134"/>
        <s v="CUST135"/>
        <s v="CUST136"/>
        <s v="CUST137"/>
        <s v="CUST138"/>
        <s v="CUST139"/>
        <s v="CUST140"/>
        <s v="CUST141"/>
        <s v="CUST142"/>
        <s v="CUST143"/>
        <s v="CUST144"/>
        <s v="CUST145"/>
        <s v="CUST146"/>
        <s v="CUST147"/>
        <s v="CUST148"/>
        <s v="CUST149"/>
        <s v="CUST150"/>
        <s v="CUST151"/>
        <s v="CUST152"/>
        <s v="CUST153"/>
        <s v="CUST154"/>
        <s v="CUST155"/>
        <s v="CUST156"/>
        <s v="CUST157"/>
        <s v="CUST158"/>
        <s v="CUST159"/>
        <s v="CUST160"/>
        <s v="CUST161"/>
        <s v="CUST162"/>
        <s v="CUST163"/>
        <s v="CUST164"/>
        <s v="CUST165"/>
        <s v="CUST166"/>
        <s v="CUST167"/>
        <s v="CUST168"/>
        <s v="CUST169"/>
        <s v="CUST170"/>
        <s v="CUST171"/>
        <s v="CUST172"/>
        <s v="CUST173"/>
        <s v="CUST174"/>
        <s v="CUST175"/>
        <s v="CUST176"/>
        <s v="CUST177"/>
        <s v="CUST178"/>
        <s v="CUST179"/>
        <s v="CUST180"/>
        <s v="CUST181"/>
        <s v="CUST182"/>
        <s v="CUST183"/>
        <s v="CUST184"/>
        <s v="CUST185"/>
        <s v="CUST186"/>
        <s v="CUST187"/>
        <s v="CUST188"/>
        <s v="CUST189"/>
        <s v="CUST190"/>
        <s v="CUST191"/>
        <s v="CUST192"/>
        <s v="CUST193"/>
        <s v="CUST194"/>
        <s v="CUST195"/>
        <s v="CUST196"/>
        <s v="CUST197"/>
        <s v="CUST198"/>
        <s v="CUST199"/>
        <s v="CUST200"/>
        <s v="CUST201"/>
        <s v="CUST202"/>
        <s v="CUST203"/>
        <s v="CUST204"/>
        <s v="CUST205"/>
        <s v="CUST206"/>
        <s v="CUST207"/>
        <s v="CUST208"/>
        <s v="CUST209"/>
        <s v="CUST210"/>
        <s v="CUST211"/>
        <s v="CUST212"/>
        <s v="CUST213"/>
        <s v="CUST214"/>
        <s v="CUST215"/>
        <s v="CUST216"/>
        <s v="CUST217"/>
        <s v="CUST218"/>
        <s v="CUST219"/>
        <s v="CUST220"/>
        <s v="CUST221"/>
        <s v="CUST222"/>
        <s v="CUST223"/>
        <s v="CUST224"/>
        <s v="CUST225"/>
        <s v="CUST226"/>
        <s v="CUST227"/>
        <s v="CUST228"/>
        <s v="CUST229"/>
        <s v="CUST230"/>
        <s v="CUST231"/>
        <s v="CUST232"/>
        <s v="CUST233"/>
        <s v="CUST234"/>
        <s v="CUST235"/>
        <s v="CUST236"/>
        <s v="CUST237"/>
        <s v="CUST238"/>
        <s v="CUST239"/>
        <s v="CUST240"/>
        <s v="CUST241"/>
        <s v="CUST242"/>
        <s v="CUST243"/>
        <s v="CUST244"/>
        <s v="CUST245"/>
        <s v="CUST246"/>
        <s v="CUST247"/>
        <s v="CUST248"/>
        <s v="CUST249"/>
        <s v="CUST250"/>
        <s v="CUST251"/>
        <s v="CUST252"/>
        <s v="CUST253"/>
        <s v="CUST254"/>
        <s v="CUST255"/>
        <s v="CUST256"/>
        <s v="CUST257"/>
        <s v="CUST258"/>
        <s v="CUST259"/>
        <s v="CUST260"/>
        <s v="CUST261"/>
        <s v="CUST262"/>
        <s v="CUST263"/>
        <s v="CUST264"/>
        <s v="CUST265"/>
        <s v="CUST266"/>
        <s v="CUST267"/>
        <s v="CUST268"/>
        <s v="CUST269"/>
        <s v="CUST270"/>
        <s v="CUST271"/>
        <s v="CUST272"/>
        <s v="CUST273"/>
        <s v="CUST274"/>
        <s v="CUST275"/>
        <s v="CUST276"/>
        <s v="CUST277"/>
        <s v="CUST278"/>
        <s v="CUST279"/>
        <s v="CUST280"/>
        <s v="CUST281"/>
        <s v="CUST282"/>
        <s v="CUST283"/>
        <s v="CUST284"/>
        <s v="CUST285"/>
        <s v="CUST286"/>
        <s v="CUST287"/>
        <s v="CUST288"/>
        <s v="CUST289"/>
        <s v="CUST290"/>
        <s v="CUST291"/>
        <s v="CUST292"/>
        <s v="CUST293"/>
        <s v="CUST294"/>
        <s v="CUST295"/>
        <s v="CUST296"/>
        <s v="CUST297"/>
        <s v="CUST298"/>
        <s v="CUST299"/>
        <s v="CUST300"/>
      </sharedItems>
    </cacheField>
    <cacheField name="Gender" numFmtId="0">
      <sharedItems>
        <s v="Female"/>
        <s v="Male"/>
      </sharedItems>
    </cacheField>
    <cacheField name="Age" numFmtId="0">
      <sharedItems containsSemiMixedTypes="0" containsString="0" containsNumber="1" containsInteger="1">
        <n v="32.0"/>
        <n v="55.0"/>
        <n v="59.0"/>
        <n v="35.0"/>
        <n v="42.0"/>
        <n v="20.0"/>
        <n v="53.0"/>
        <n v="22.0"/>
        <n v="24.0"/>
        <n v="41.0"/>
        <n v="52.0"/>
        <n v="58.0"/>
        <n v="31.0"/>
        <n v="21.0"/>
        <n v="47.0"/>
        <n v="49.0"/>
        <n v="34.0"/>
        <n v="37.0"/>
        <n v="25.0"/>
        <n v="48.0"/>
        <n v="40.0"/>
        <n v="30.0"/>
        <n v="28.0"/>
        <n v="27.0"/>
        <n v="38.0"/>
        <n v="33.0"/>
        <n v="57.0"/>
        <n v="26.0"/>
        <n v="18.0"/>
        <n v="60.0"/>
        <n v="39.0"/>
        <n v="19.0"/>
        <n v="45.0"/>
        <n v="23.0"/>
        <n v="43.0"/>
        <n v="46.0"/>
        <n v="51.0"/>
        <n v="36.0"/>
        <n v="44.0"/>
        <n v="54.0"/>
        <n v="50.0"/>
        <n v="29.0"/>
        <n v="56.0"/>
      </sharedItems>
    </cacheField>
    <cacheField name="Product Category" numFmtId="0">
      <sharedItems>
        <s v="Beauty"/>
        <s v="Home"/>
        <s v="Clothing"/>
        <s v="Electronics"/>
        <s v="Groceries"/>
      </sharedItems>
    </cacheField>
    <cacheField name="Quantity" numFmtId="0">
      <sharedItems containsSemiMixedTypes="0" containsString="0" containsNumber="1" containsInteger="1">
        <n v="3.0"/>
        <n v="5.0"/>
        <n v="1.0"/>
        <n v="2.0"/>
        <n v="4.0"/>
      </sharedItems>
    </cacheField>
    <cacheField name="Price per Unit" numFmtId="0">
      <sharedItems containsSemiMixedTypes="0" containsString="0" containsNumber="1" containsInteger="1">
        <n v="20.0"/>
        <n v="230.0"/>
        <n v="40.0"/>
        <n v="290.0"/>
        <n v="65.0"/>
        <n v="125.0"/>
        <n v="980.0"/>
        <n v="100.0"/>
        <n v="255.0"/>
        <n v="110.0"/>
        <n v="1260.0"/>
        <n v="105.0"/>
        <n v="165.0"/>
        <n v="1125.0"/>
        <n v="640.0"/>
        <n v="1195.0"/>
        <n v="180.0"/>
        <n v="70.0"/>
        <n v="320.0"/>
        <n v="1380.0"/>
        <n v="410.0"/>
        <n v="360.0"/>
        <n v="130.0"/>
        <n v="75.0"/>
        <n v="60.0"/>
        <n v="295.0"/>
        <n v="1220.0"/>
        <n v="90.0"/>
        <n v="390.0"/>
        <n v="50.0"/>
        <n v="375.0"/>
        <n v="25.0"/>
        <n v="30.0"/>
        <n v="80.0"/>
        <n v="5.0"/>
        <n v="115.0"/>
        <n v="655.0"/>
        <n v="200.0"/>
        <n v="195.0"/>
        <n v="710.0"/>
        <n v="1270.0"/>
        <n v="385.0"/>
        <n v="190.0"/>
        <n v="825.0"/>
        <n v="1450.0"/>
        <n v="820.0"/>
        <n v="1390.0"/>
        <n v="45.0"/>
        <n v="510.0"/>
        <n v="35.0"/>
        <n v="1150.0"/>
        <n v="135.0"/>
        <n v="145.0"/>
        <n v="1400.0"/>
        <n v="555.0"/>
        <n v="300.0"/>
        <n v="95.0"/>
        <n v="225.0"/>
        <n v="1395.0"/>
        <n v="425.0"/>
        <n v="155.0"/>
        <n v="675.0"/>
        <n v="170.0"/>
        <n v="955.0"/>
        <n v="140.0"/>
        <n v="55.0"/>
        <n v="150.0"/>
        <n v="500.0"/>
        <n v="1215.0"/>
        <n v="120.0"/>
        <n v="250.0"/>
        <n v="220.0"/>
        <n v="210.0"/>
        <n v="1275.0"/>
        <n v="1475.0"/>
        <n v="925.0"/>
        <n v="970.0"/>
        <n v="175.0"/>
        <n v="260.0"/>
        <n v="1000.0"/>
        <n v="405.0"/>
        <n v="420.0"/>
        <n v="1300.0"/>
        <n v="15.0"/>
        <n v="215.0"/>
        <n v="325.0"/>
        <n v="445.0"/>
        <n v="340.0"/>
        <n v="440.0"/>
        <n v="395.0"/>
        <n v="160.0"/>
        <n v="475.0"/>
        <n v="350.0"/>
        <n v="355.0"/>
        <n v="245.0"/>
        <n v="1345.0"/>
        <n v="240.0"/>
        <n v="460.0"/>
        <n v="865.0"/>
        <n v="685.0"/>
        <n v="520.0"/>
        <n v="1470.0"/>
        <n v="1075.0"/>
        <n v="1480.0"/>
        <n v="585.0"/>
        <n v="400.0"/>
        <n v="490.0"/>
        <n v="415.0"/>
        <n v="895.0"/>
        <n v="315.0"/>
        <n v="495.0"/>
        <n v="265.0"/>
        <n v="560.0"/>
        <n v="370.0"/>
        <n v="305.0"/>
        <n v="85.0"/>
        <n v="650.0"/>
        <n v="345.0"/>
        <n v="270.0"/>
      </sharedItems>
    </cacheField>
    <cacheField name="Total Amount" numFmtId="0">
      <sharedItems containsSemiMixedTypes="0" containsString="0" containsNumber="1" containsInteger="1">
        <n v="60.0"/>
        <n v="1150.0"/>
        <n v="20.0"/>
        <n v="200.0"/>
        <n v="580.0"/>
        <n v="260.0"/>
        <n v="125.0"/>
        <n v="4900.0"/>
        <n v="400.0"/>
        <n v="1275.0"/>
        <n v="110.0"/>
        <n v="3780.0"/>
        <n v="105.0"/>
        <n v="660.0"/>
        <n v="495.0"/>
        <n v="3375.0"/>
        <n v="2560.0"/>
        <n v="5975.0"/>
        <n v="720.0"/>
        <n v="280.0"/>
        <n v="1600.0"/>
        <n v="420.0"/>
        <n v="2760.0"/>
        <n v="820.0"/>
        <n v="360.0"/>
        <n v="390.0"/>
        <n v="75.0"/>
        <n v="240.0"/>
        <n v="590.0"/>
        <n v="6100.0"/>
        <n v="120.0"/>
        <n v="90.0"/>
        <n v="40.0"/>
        <n v="1560.0"/>
        <n v="50.0"/>
        <n v="750.0"/>
        <n v="100.0"/>
        <n v="160.0"/>
        <n v="30.0"/>
        <n v="575.0"/>
        <n v="655.0"/>
        <n v="800.0"/>
        <n v="70.0"/>
        <n v="550.0"/>
        <n v="2130.0"/>
        <n v="3810.0"/>
        <n v="385.0"/>
        <n v="380.0"/>
        <n v="1650.0"/>
        <n v="1450.0"/>
        <n v="4100.0"/>
        <n v="5560.0"/>
        <n v="45.0"/>
        <n v="2040.0"/>
        <n v="460.0"/>
        <n v="600.0"/>
        <n v="625.0"/>
        <n v="140.0"/>
        <n v="2300.0"/>
        <n v="135.0"/>
        <n v="180.0"/>
        <n v="435.0"/>
        <n v="5600.0"/>
        <n v="2775.0"/>
        <n v="900.0"/>
        <n v="25.0"/>
        <n v="675.0"/>
        <n v="4185.0"/>
        <n v="850.0"/>
        <n v="775.0"/>
        <n v="220.0"/>
        <n v="525.0"/>
        <n v="1350.0"/>
        <n v="320.0"/>
        <n v="825.0"/>
        <n v="1475.0"/>
        <n v="2865.0"/>
        <n v="275.0"/>
        <n v="15.0"/>
        <n v="2500.0"/>
        <n v="4860.0"/>
        <n v="1250.0"/>
        <n v="500.0"/>
        <n v="330.0"/>
        <n v="520.0"/>
        <n v="2550.0"/>
        <n v="5900.0"/>
        <n v="1850.0"/>
        <n v="2910.0"/>
        <n v="145.0"/>
        <n v="700.0"/>
        <n v="210.0"/>
        <n v="1040.0"/>
        <n v="4000.0"/>
        <n v="1215.0"/>
        <n v="270.0"/>
        <n v="315.0"/>
        <n v="1680.0"/>
        <n v="5200.0"/>
        <n v="215.0"/>
        <n v="225.0"/>
        <n v="300.0"/>
        <n v="975.0"/>
        <n v="1260.0"/>
        <n v="890.0"/>
        <n v="195.0"/>
        <n v="345.0"/>
        <n v="1360.0"/>
        <n v="1760.0"/>
        <n v="165.0"/>
        <n v="1580.0"/>
        <n v="1075.0"/>
        <n v="150.0"/>
        <n v="1425.0"/>
        <n v="475.0"/>
        <n v="175.0"/>
        <n v="1420.0"/>
        <n v="490.0"/>
        <n v="6725.0"/>
        <n v="310.0"/>
        <n v="920.0"/>
        <n v="480.0"/>
        <n v="3460.0"/>
        <n v="560.0"/>
        <n v="3425.0"/>
        <n v="440.0"/>
        <n v="1470.0"/>
        <n v="3225.0"/>
        <n v="1050.0"/>
        <n v="860.0"/>
        <n v="55.0"/>
        <n v="5920.0"/>
        <n v="2620.0"/>
        <n v="690.0"/>
        <n v="585.0"/>
        <n v="155.0"/>
        <n v="250.0"/>
        <n v="95.0"/>
        <n v="680.0"/>
        <n v="115.0"/>
        <n v="1125.0"/>
        <n v="6300.0"/>
        <n v="1100.0"/>
        <n v="450.0"/>
        <n v="1960.0"/>
        <n v="1000.0"/>
        <n v="2075.0"/>
        <n v="340.0"/>
        <n v="230.0"/>
        <n v="2685.0"/>
        <n v="35.0"/>
        <n v="950.0"/>
        <n v="945.0"/>
        <n v="65.0"/>
        <n v="1395.0"/>
        <n v="830.0"/>
        <n v="795.0"/>
        <n v="1120.0"/>
        <n v="1220.0"/>
        <n v="170.0"/>
        <n v="1300.0"/>
        <n v="1725.0"/>
        <n v="81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L301" sheet="Analysis"/>
  </cacheSource>
  <cacheFields>
    <cacheField name="Transaction 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</sharedItems>
    </cacheField>
    <cacheField name="Date" numFmtId="164">
      <sharedItems containsSemiMixedTypes="0" containsDate="1" containsString="0">
        <d v="2025-11-24T00:00:00Z"/>
        <d v="2025-03-13T00:00:00Z"/>
        <d v="2025-08-05T00:00:00Z"/>
        <d v="2025-09-16T00:00:00Z"/>
        <d v="2025-12-26T00:00:00Z"/>
        <d v="2025-05-23T00:00:00Z"/>
        <d v="2025-03-21T00:00:00Z"/>
        <d v="2025-02-19T00:00:00Z"/>
        <d v="2025-08-24T00:00:00Z"/>
        <d v="2025-05-31T00:00:00Z"/>
        <d v="2025-01-24T00:00:00Z"/>
        <d v="2025-07-14T00:00:00Z"/>
        <d v="2025-07-01T00:00:00Z"/>
        <d v="2025-05-06T00:00:00Z"/>
        <d v="2025-12-19T00:00:00Z"/>
        <d v="2025-01-17T00:00:00Z"/>
        <d v="2025-10-18T00:00:00Z"/>
        <d v="2025-08-23T00:00:00Z"/>
        <d v="2025-10-03T00:00:00Z"/>
        <d v="2025-04-23T00:00:00Z"/>
        <d v="2025-02-26T00:00:00Z"/>
        <d v="2025-07-15T00:00:00Z"/>
        <d v="2025-01-06T00:00:00Z"/>
        <d v="2025-06-24T00:00:00Z"/>
        <d v="2025-01-02T00:00:00Z"/>
        <d v="2025-06-02T00:00:00Z"/>
        <d v="2025-03-24T00:00:00Z"/>
        <d v="2025-01-10T00:00:00Z"/>
        <d v="2025-05-04T00:00:00Z"/>
        <d v="2025-09-30T00:00:00Z"/>
        <d v="2025-09-28T00:00:00Z"/>
        <d v="2025-07-24T00:00:00Z"/>
        <d v="2025-05-07T00:00:00Z"/>
        <d v="2025-10-11T00:00:00Z"/>
        <d v="2025-01-31T00:00:00Z"/>
        <d v="2025-09-21T00:00:00Z"/>
        <d v="2025-03-09T00:00:00Z"/>
        <d v="2025-07-28T00:00:00Z"/>
        <d v="2025-07-26T00:00:00Z"/>
        <d v="2025-10-02T00:00:00Z"/>
        <d v="2025-08-25T00:00:00Z"/>
        <d v="2025-11-30T00:00:00Z"/>
        <d v="2025-03-26T00:00:00Z"/>
        <d v="2025-05-27T00:00:00Z"/>
        <d v="2025-04-08T00:00:00Z"/>
        <d v="2025-01-30T00:00:00Z"/>
        <d v="2025-09-18T00:00:00Z"/>
        <d v="2025-02-11T00:00:00Z"/>
        <d v="2025-04-15T00:00:00Z"/>
        <d v="2025-12-10T00:00:00Z"/>
        <d v="2025-04-20T00:00:00Z"/>
        <d v="2025-12-27T00:00:00Z"/>
        <d v="2025-02-23T00:00:00Z"/>
        <d v="2025-02-17T00:00:00Z"/>
        <d v="2025-03-08T00:00:00Z"/>
        <d v="2025-01-05T00:00:00Z"/>
        <d v="2025-10-26T00:00:00Z"/>
        <d v="2025-06-07T00:00:00Z"/>
        <d v="2025-12-08T00:00:00Z"/>
        <d v="2025-04-02T00:00:00Z"/>
        <d v="2025-04-13T00:00:00Z"/>
        <d v="2025-01-13T00:00:00Z"/>
        <d v="2025-03-01T00:00:00Z"/>
        <d v="2025-02-25T00:00:00Z"/>
        <d v="2025-11-07T00:00:00Z"/>
        <d v="2025-01-23T00:00:00Z"/>
        <d v="2025-08-09T00:00:00Z"/>
        <d v="2025-03-05T00:00:00Z"/>
        <d v="2025-08-15T00:00:00Z"/>
        <d v="2025-12-04T00:00:00Z"/>
        <d v="2025-05-01T00:00:00Z"/>
        <d v="2025-08-01T00:00:00Z"/>
        <d v="2025-05-05T00:00:00Z"/>
        <d v="2025-04-01T00:00:00Z"/>
        <d v="2025-08-22T00:00:00Z"/>
        <d v="2025-11-10T00:00:00Z"/>
        <d v="2025-09-01T00:00:00Z"/>
        <d v="2025-09-06T00:00:00Z"/>
        <d v="2025-03-19T00:00:00Z"/>
        <d v="2025-02-01T00:00:00Z"/>
        <d v="2025-08-03T00:00:00Z"/>
        <d v="2025-06-22T00:00:00Z"/>
        <d v="2025-11-15T00:00:00Z"/>
        <d v="2025-11-26T00:00:00Z"/>
        <d v="2025-05-14T00:00:00Z"/>
        <d v="2025-08-29T00:00:00Z"/>
        <d v="2025-04-25T00:00:00Z"/>
        <d v="2025-08-31T00:00:00Z"/>
        <d v="2025-07-08T00:00:00Z"/>
        <d v="2025-10-24T00:00:00Z"/>
        <d v="2025-04-12T00:00:00Z"/>
        <d v="2025-12-17T00:00:00Z"/>
        <d v="2025-11-28T00:00:00Z"/>
        <d v="2025-08-10T00:00:00Z"/>
        <d v="2025-09-25T00:00:00Z"/>
        <d v="2025-10-31T00:00:00Z"/>
        <d v="2025-08-19T00:00:00Z"/>
        <d v="2025-01-15T00:00:00Z"/>
        <d v="2025-09-08T00:00:00Z"/>
        <d v="2025-01-09T00:00:00Z"/>
        <d v="2025-06-06T00:00:00Z"/>
        <d v="2025-10-09T00:00:00Z"/>
        <d v="2025-05-09T00:00:00Z"/>
        <d v="2025-10-29T00:00:00Z"/>
        <d v="2025-06-01T00:00:00Z"/>
        <d v="2025-12-29T00:00:00Z"/>
        <d v="2025-10-21T00:00:00Z"/>
        <d v="2025-04-05T00:00:00Z"/>
        <d v="2025-07-25T00:00:00Z"/>
        <d v="2025-03-18T00:00:00Z"/>
        <d v="2025-10-13T00:00:00Z"/>
        <d v="2025-10-19T00:00:00Z"/>
        <d v="2025-11-17T00:00:00Z"/>
        <d v="2025-03-30T00:00:00Z"/>
        <d v="2025-05-28T00:00:00Z"/>
        <d v="2025-10-06T00:00:00Z"/>
        <d v="2025-09-14T00:00:00Z"/>
        <d v="2025-01-21T00:00:00Z"/>
        <d v="2025-02-16T00:00:00Z"/>
        <d v="2025-10-27T00:00:00Z"/>
        <d v="2025-06-28T00:00:00Z"/>
        <d v="2025-06-18T00:00:00Z"/>
        <d v="2025-05-10T00:00:00Z"/>
        <d v="2025-10-05T00:00:00Z"/>
        <d v="2025-07-05T00:00:00Z"/>
        <d v="2025-05-17T00:00:00Z"/>
        <d v="2025-03-04T00:00:00Z"/>
        <d v="2025-06-09T00:00:00Z"/>
        <d v="2025-04-26T00:00:00Z"/>
        <d v="2025-05-30T00:00:00Z"/>
        <d v="2025-08-30T00:00:00Z"/>
        <d v="2025-06-14T00:00:00Z"/>
        <d v="2025-07-30T00:00:00Z"/>
        <d v="2025-12-06T00:00:00Z"/>
        <d v="2025-10-30T00:00:00Z"/>
        <d v="2025-12-21T00:00:00Z"/>
        <d v="2025-02-05T00:00:00Z"/>
        <d v="2025-02-20T00:00:00Z"/>
        <d v="2025-12-16T00:00:00Z"/>
        <d v="2025-03-15T00:00:00Z"/>
        <d v="2025-06-04T00:00:00Z"/>
        <d v="2025-01-12T00:00:00Z"/>
        <d v="2025-09-12T00:00:00Z"/>
        <d v="2025-11-22T00:00:00Z"/>
        <d v="2025-11-27T00:00:00Z"/>
        <d v="2025-07-06T00:00:00Z"/>
        <d v="2025-03-31T00:00:00Z"/>
        <d v="2025-06-23T00:00:00Z"/>
        <d v="2025-12-13T00:00:00Z"/>
        <d v="2025-01-08T00:00:00Z"/>
        <d v="2025-12-11T00:00:00Z"/>
        <d v="2025-04-24T00:00:00Z"/>
        <d v="2025-07-29T00:00:00Z"/>
        <d v="2025-09-10T00:00:00Z"/>
        <d v="2025-08-21T00:00:00Z"/>
        <d v="2025-12-02T00:00:00Z"/>
        <d v="2025-07-23T00:00:00Z"/>
        <d v="2025-03-06T00:00:00Z"/>
        <d v="2025-04-21T00:00:00Z"/>
        <d v="2025-03-16T00:00:00Z"/>
        <d v="2025-01-14T00:00:00Z"/>
        <d v="2025-06-15T00:00:00Z"/>
        <d v="2025-08-04T00:00:00Z"/>
        <d v="2025-12-18T00:00:00Z"/>
        <d v="2025-11-16T00:00:00Z"/>
        <d v="2025-09-29T00:00:00Z"/>
        <d v="2025-08-20T00:00:00Z"/>
        <d v="2025-05-11T00:00:00Z"/>
        <d v="2025-02-13T00:00:00Z"/>
        <d v="2025-10-12T00:00:00Z"/>
        <d v="2025-11-04T00:00:00Z"/>
        <d v="2025-12-03T00:00:00Z"/>
        <d v="2025-10-15T00:00:00Z"/>
        <d v="2025-03-22T00:00:00Z"/>
        <d v="2025-12-05T00:00:00Z"/>
        <d v="2025-05-20T00:00:00Z"/>
        <d v="2025-03-03T00:00:00Z"/>
        <d v="2025-06-10T00:00:00Z"/>
        <d v="2025-08-02T00:00:00Z"/>
        <d v="2025-03-29T00:00:00Z"/>
        <d v="2025-02-24T00:00:00Z"/>
        <d v="2025-02-10T00:00:00Z"/>
        <d v="2025-03-28T00:00:00Z"/>
        <d v="2025-06-29T00:00:00Z"/>
        <d v="2025-02-04T00:00:00Z"/>
        <d v="2025-01-29T00:00:00Z"/>
        <d v="2025-10-25T00:00:00Z"/>
        <d v="2025-09-26T00:00:00Z"/>
        <d v="2025-05-25T00:00:00Z"/>
        <d v="2025-12-14T00:00:00Z"/>
        <d v="2025-10-14T00:00:00Z"/>
        <d v="2025-04-09T00:00:00Z"/>
        <d v="2025-02-21T00:00:00Z"/>
        <d v="2025-03-25T00:00:00Z"/>
        <d v="2025-04-30T00:00:00Z"/>
        <d v="2025-09-15T00:00:00Z"/>
        <d v="2025-03-12T00:00:00Z"/>
        <d v="2025-02-22T00:00:00Z"/>
        <d v="2025-07-22T00:00:00Z"/>
        <d v="2025-07-11T00:00:00Z"/>
        <d v="2025-06-21T00:00:00Z"/>
        <d v="2025-12-23T00:00:00Z"/>
        <d v="2025-11-02T00:00:00Z"/>
        <d v="2025-10-20T00:00:00Z"/>
        <d v="2025-09-27T00:00:00Z"/>
        <d v="2025-11-18T00:00:00Z"/>
        <d v="2025-06-30T00:00:00Z"/>
        <d v="2025-11-20T00:00:00Z"/>
      </sharedItems>
    </cacheField>
    <cacheField name="Customer ID" numFmtId="0">
      <sharedItems>
        <s v="CUST001"/>
        <s v="CUST002"/>
        <s v="CUST003"/>
        <s v="CUST004"/>
        <s v="CUST005"/>
        <s v="CUST006"/>
        <s v="CUST007"/>
        <s v="CUST008"/>
        <s v="CUST009"/>
        <s v="CUST010"/>
        <s v="CUST011"/>
        <s v="CUST012"/>
        <s v="CUST013"/>
        <s v="CUST014"/>
        <s v="CUST015"/>
        <s v="CUST016"/>
        <s v="CUST017"/>
        <s v="CUST018"/>
        <s v="CUST019"/>
        <s v="CUST020"/>
        <s v="CUST021"/>
        <s v="CUST022"/>
        <s v="CUST023"/>
        <s v="CUST024"/>
        <s v="CUST025"/>
        <s v="CUST026"/>
        <s v="CUST027"/>
        <s v="CUST028"/>
        <s v="CUST029"/>
        <s v="CUST030"/>
        <s v="CUST031"/>
        <s v="CUST032"/>
        <s v="CUST033"/>
        <s v="CUST034"/>
        <s v="CUST035"/>
        <s v="CUST036"/>
        <s v="CUST037"/>
        <s v="CUST038"/>
        <s v="CUST039"/>
        <s v="CUST040"/>
        <s v="CUST041"/>
        <s v="CUST042"/>
        <s v="CUST043"/>
        <s v="CUST044"/>
        <s v="CUST045"/>
        <s v="CUST046"/>
        <s v="CUST047"/>
        <s v="CUST048"/>
        <s v="CUST049"/>
        <s v="CUST050"/>
        <s v="CUST051"/>
        <s v="CUST052"/>
        <s v="CUST053"/>
        <s v="CUST054"/>
        <s v="CUST055"/>
        <s v="CUST056"/>
        <s v="CUST057"/>
        <s v="CUST058"/>
        <s v="CUST059"/>
        <s v="CUST060"/>
        <s v="CUST061"/>
        <s v="CUST062"/>
        <s v="CUST063"/>
        <s v="CUST064"/>
        <s v="CUST065"/>
        <s v="CUST066"/>
        <s v="CUST067"/>
        <s v="CUST068"/>
        <s v="CUST069"/>
        <s v="CUST070"/>
        <s v="CUST071"/>
        <s v="CUST072"/>
        <s v="CUST073"/>
        <s v="CUST074"/>
        <s v="CUST075"/>
        <s v="CUST076"/>
        <s v="CUST077"/>
        <s v="CUST078"/>
        <s v="CUST079"/>
        <s v="CUST080"/>
        <s v="CUST081"/>
        <s v="CUST082"/>
        <s v="CUST083"/>
        <s v="CUST084"/>
        <s v="CUST085"/>
        <s v="CUST086"/>
        <s v="CUST087"/>
        <s v="CUST088"/>
        <s v="CUST089"/>
        <s v="CUST090"/>
        <s v="CUST091"/>
        <s v="CUST092"/>
        <s v="CUST093"/>
        <s v="CUST094"/>
        <s v="CUST095"/>
        <s v="CUST096"/>
        <s v="CUST097"/>
        <s v="CUST098"/>
        <s v="CUST099"/>
        <s v="CUST100"/>
        <s v="CUST101"/>
        <s v="CUST102"/>
        <s v="CUST103"/>
        <s v="CUST104"/>
        <s v="CUST105"/>
        <s v="CUST106"/>
        <s v="CUST107"/>
        <s v="CUST108"/>
        <s v="CUST109"/>
        <s v="CUST110"/>
        <s v="CUST111"/>
        <s v="CUST112"/>
        <s v="CUST113"/>
        <s v="CUST114"/>
        <s v="CUST115"/>
        <s v="CUST116"/>
        <s v="CUST117"/>
        <s v="CUST118"/>
        <s v="CUST119"/>
        <s v="CUST120"/>
        <s v="CUST121"/>
        <s v="CUST122"/>
        <s v="CUST123"/>
        <s v="CUST124"/>
        <s v="CUST125"/>
        <s v="CUST126"/>
        <s v="CUST127"/>
        <s v="CUST128"/>
        <s v="CUST129"/>
        <s v="CUST130"/>
        <s v="CUST131"/>
        <s v="CUST132"/>
        <s v="CUST133"/>
        <s v="CUST134"/>
        <s v="CUST135"/>
        <s v="CUST136"/>
        <s v="CUST137"/>
        <s v="CUST138"/>
        <s v="CUST139"/>
        <s v="CUST140"/>
        <s v="CUST141"/>
        <s v="CUST142"/>
        <s v="CUST143"/>
        <s v="CUST144"/>
        <s v="CUST145"/>
        <s v="CUST146"/>
        <s v="CUST147"/>
        <s v="CUST148"/>
        <s v="CUST149"/>
        <s v="CUST150"/>
        <s v="CUST151"/>
        <s v="CUST152"/>
        <s v="CUST153"/>
        <s v="CUST154"/>
        <s v="CUST155"/>
        <s v="CUST156"/>
        <s v="CUST157"/>
        <s v="CUST158"/>
        <s v="CUST159"/>
        <s v="CUST160"/>
        <s v="CUST161"/>
        <s v="CUST162"/>
        <s v="CUST163"/>
        <s v="CUST164"/>
        <s v="CUST165"/>
        <s v="CUST166"/>
        <s v="CUST167"/>
        <s v="CUST168"/>
        <s v="CUST169"/>
        <s v="CUST170"/>
        <s v="CUST171"/>
        <s v="CUST172"/>
        <s v="CUST173"/>
        <s v="CUST174"/>
        <s v="CUST175"/>
        <s v="CUST176"/>
        <s v="CUST177"/>
        <s v="CUST178"/>
        <s v="CUST179"/>
        <s v="CUST180"/>
        <s v="CUST181"/>
        <s v="CUST182"/>
        <s v="CUST183"/>
        <s v="CUST184"/>
        <s v="CUST185"/>
        <s v="CUST186"/>
        <s v="CUST187"/>
        <s v="CUST188"/>
        <s v="CUST189"/>
        <s v="CUST190"/>
        <s v="CUST191"/>
        <s v="CUST192"/>
        <s v="CUST193"/>
        <s v="CUST194"/>
        <s v="CUST195"/>
        <s v="CUST196"/>
        <s v="CUST197"/>
        <s v="CUST198"/>
        <s v="CUST199"/>
        <s v="CUST200"/>
        <s v="CUST201"/>
        <s v="CUST202"/>
        <s v="CUST203"/>
        <s v="CUST204"/>
        <s v="CUST205"/>
        <s v="CUST206"/>
        <s v="CUST207"/>
        <s v="CUST208"/>
        <s v="CUST209"/>
        <s v="CUST210"/>
        <s v="CUST211"/>
        <s v="CUST212"/>
        <s v="CUST213"/>
        <s v="CUST214"/>
        <s v="CUST215"/>
        <s v="CUST216"/>
        <s v="CUST217"/>
        <s v="CUST218"/>
        <s v="CUST219"/>
        <s v="CUST220"/>
        <s v="CUST221"/>
        <s v="CUST222"/>
        <s v="CUST223"/>
        <s v="CUST224"/>
        <s v="CUST225"/>
        <s v="CUST226"/>
        <s v="CUST227"/>
        <s v="CUST228"/>
        <s v="CUST229"/>
        <s v="CUST230"/>
        <s v="CUST231"/>
        <s v="CUST232"/>
        <s v="CUST233"/>
        <s v="CUST234"/>
        <s v="CUST235"/>
        <s v="CUST236"/>
        <s v="CUST237"/>
        <s v="CUST238"/>
        <s v="CUST239"/>
        <s v="CUST240"/>
        <s v="CUST241"/>
        <s v="CUST242"/>
        <s v="CUST243"/>
        <s v="CUST244"/>
        <s v="CUST245"/>
        <s v="CUST246"/>
        <s v="CUST247"/>
        <s v="CUST248"/>
        <s v="CUST249"/>
        <s v="CUST250"/>
        <s v="CUST251"/>
        <s v="CUST252"/>
        <s v="CUST253"/>
        <s v="CUST254"/>
        <s v="CUST255"/>
        <s v="CUST256"/>
        <s v="CUST257"/>
        <s v="CUST258"/>
        <s v="CUST259"/>
        <s v="CUST260"/>
        <s v="CUST261"/>
        <s v="CUST262"/>
        <s v="CUST263"/>
        <s v="CUST264"/>
        <s v="CUST265"/>
        <s v="CUST266"/>
        <s v="CUST267"/>
        <s v="CUST268"/>
        <s v="CUST269"/>
        <s v="CUST270"/>
        <s v="CUST271"/>
        <s v="CUST272"/>
        <s v="CUST273"/>
        <s v="CUST274"/>
        <s v="CUST275"/>
        <s v="CUST276"/>
        <s v="CUST277"/>
        <s v="CUST278"/>
        <s v="CUST279"/>
        <s v="CUST280"/>
        <s v="CUST281"/>
        <s v="CUST282"/>
        <s v="CUST283"/>
        <s v="CUST284"/>
        <s v="CUST285"/>
        <s v="CUST286"/>
        <s v="CUST287"/>
        <s v="CUST288"/>
        <s v="CUST289"/>
        <s v="CUST290"/>
        <s v="CUST291"/>
        <s v="CUST292"/>
        <s v="CUST293"/>
        <s v="CUST294"/>
        <s v="CUST295"/>
        <s v="CUST296"/>
        <s v="CUST297"/>
        <s v="CUST298"/>
        <s v="CUST299"/>
        <s v="CUST300"/>
      </sharedItems>
    </cacheField>
    <cacheField name="Gender" numFmtId="0">
      <sharedItems>
        <s v="Female"/>
        <s v="Male"/>
      </sharedItems>
    </cacheField>
    <cacheField name="Age" numFmtId="0">
      <sharedItems containsSemiMixedTypes="0" containsString="0" containsNumber="1" containsInteger="1">
        <n v="32.0"/>
        <n v="55.0"/>
        <n v="59.0"/>
        <n v="35.0"/>
        <n v="42.0"/>
        <n v="20.0"/>
        <n v="53.0"/>
        <n v="22.0"/>
        <n v="24.0"/>
        <n v="41.0"/>
        <n v="52.0"/>
        <n v="58.0"/>
        <n v="31.0"/>
        <n v="21.0"/>
        <n v="47.0"/>
        <n v="49.0"/>
        <n v="34.0"/>
        <n v="37.0"/>
        <n v="25.0"/>
        <n v="48.0"/>
        <n v="40.0"/>
        <n v="30.0"/>
        <n v="28.0"/>
        <n v="27.0"/>
        <n v="38.0"/>
        <n v="33.0"/>
        <n v="57.0"/>
        <n v="26.0"/>
        <n v="18.0"/>
        <n v="60.0"/>
        <n v="39.0"/>
        <n v="19.0"/>
        <n v="45.0"/>
        <n v="23.0"/>
        <n v="43.0"/>
        <n v="46.0"/>
        <n v="51.0"/>
        <n v="36.0"/>
        <n v="44.0"/>
        <n v="54.0"/>
        <n v="50.0"/>
        <n v="29.0"/>
        <n v="56.0"/>
      </sharedItems>
    </cacheField>
    <cacheField name="Product Category" numFmtId="0">
      <sharedItems>
        <s v="Beauty"/>
        <s v="Home"/>
        <s v="Clothing"/>
        <s v="Electronics"/>
        <s v="Groceries"/>
      </sharedItems>
    </cacheField>
    <cacheField name="Quantity" numFmtId="0">
      <sharedItems containsSemiMixedTypes="0" containsString="0" containsNumber="1" containsInteger="1">
        <n v="3.0"/>
        <n v="5.0"/>
        <n v="1.0"/>
        <n v="2.0"/>
        <n v="4.0"/>
      </sharedItems>
    </cacheField>
    <cacheField name="Price per Unit" numFmtId="0">
      <sharedItems containsSemiMixedTypes="0" containsString="0" containsNumber="1" containsInteger="1">
        <n v="20.0"/>
        <n v="230.0"/>
        <n v="40.0"/>
        <n v="290.0"/>
        <n v="65.0"/>
        <n v="125.0"/>
        <n v="980.0"/>
        <n v="100.0"/>
        <n v="255.0"/>
        <n v="110.0"/>
        <n v="1260.0"/>
        <n v="105.0"/>
        <n v="165.0"/>
        <n v="1125.0"/>
        <n v="640.0"/>
        <n v="1195.0"/>
        <n v="180.0"/>
        <n v="70.0"/>
        <n v="320.0"/>
        <n v="1380.0"/>
        <n v="410.0"/>
        <n v="360.0"/>
        <n v="130.0"/>
        <n v="75.0"/>
        <n v="60.0"/>
        <n v="295.0"/>
        <n v="1220.0"/>
        <n v="90.0"/>
        <n v="390.0"/>
        <n v="50.0"/>
        <n v="375.0"/>
        <n v="25.0"/>
        <n v="30.0"/>
        <n v="80.0"/>
        <n v="5.0"/>
        <n v="115.0"/>
        <n v="655.0"/>
        <n v="200.0"/>
        <n v="195.0"/>
        <n v="710.0"/>
        <n v="1270.0"/>
        <n v="385.0"/>
        <n v="190.0"/>
        <n v="825.0"/>
        <n v="1450.0"/>
        <n v="820.0"/>
        <n v="1390.0"/>
        <n v="45.0"/>
        <n v="510.0"/>
        <n v="35.0"/>
        <n v="1150.0"/>
        <n v="135.0"/>
        <n v="145.0"/>
        <n v="1400.0"/>
        <n v="555.0"/>
        <n v="300.0"/>
        <n v="95.0"/>
        <n v="225.0"/>
        <n v="1395.0"/>
        <n v="425.0"/>
        <n v="155.0"/>
        <n v="675.0"/>
        <n v="170.0"/>
        <n v="955.0"/>
        <n v="140.0"/>
        <n v="55.0"/>
        <n v="150.0"/>
        <n v="500.0"/>
        <n v="1215.0"/>
        <n v="120.0"/>
        <n v="250.0"/>
        <n v="220.0"/>
        <n v="210.0"/>
        <n v="1275.0"/>
        <n v="1475.0"/>
        <n v="925.0"/>
        <n v="970.0"/>
        <n v="175.0"/>
        <n v="260.0"/>
        <n v="1000.0"/>
        <n v="405.0"/>
        <n v="420.0"/>
        <n v="1300.0"/>
        <n v="15.0"/>
        <n v="215.0"/>
        <n v="325.0"/>
        <n v="445.0"/>
        <n v="340.0"/>
        <n v="440.0"/>
        <n v="395.0"/>
        <n v="160.0"/>
        <n v="475.0"/>
        <n v="350.0"/>
        <n v="355.0"/>
        <n v="245.0"/>
        <n v="1345.0"/>
        <n v="240.0"/>
        <n v="460.0"/>
        <n v="865.0"/>
        <n v="685.0"/>
        <n v="520.0"/>
        <n v="1470.0"/>
        <n v="1075.0"/>
        <n v="1480.0"/>
        <n v="585.0"/>
        <n v="400.0"/>
        <n v="490.0"/>
        <n v="415.0"/>
        <n v="895.0"/>
        <n v="315.0"/>
        <n v="495.0"/>
        <n v="265.0"/>
        <n v="560.0"/>
        <n v="370.0"/>
        <n v="305.0"/>
        <n v="85.0"/>
        <n v="650.0"/>
        <n v="345.0"/>
        <n v="270.0"/>
      </sharedItems>
    </cacheField>
    <cacheField name="Total Amount" numFmtId="0">
      <sharedItems containsSemiMixedTypes="0" containsString="0" containsNumber="1" containsInteger="1">
        <n v="60.0"/>
        <n v="1150.0"/>
        <n v="20.0"/>
        <n v="200.0"/>
        <n v="580.0"/>
        <n v="260.0"/>
        <n v="125.0"/>
        <n v="4900.0"/>
        <n v="400.0"/>
        <n v="1275.0"/>
        <n v="110.0"/>
        <n v="3780.0"/>
        <n v="105.0"/>
        <n v="660.0"/>
        <n v="495.0"/>
        <n v="3375.0"/>
        <n v="2560.0"/>
        <n v="5975.0"/>
        <n v="720.0"/>
        <n v="280.0"/>
        <n v="1600.0"/>
        <n v="420.0"/>
        <n v="2760.0"/>
        <n v="820.0"/>
        <n v="360.0"/>
        <n v="390.0"/>
        <n v="75.0"/>
        <n v="240.0"/>
        <n v="590.0"/>
        <n v="6100.0"/>
        <n v="120.0"/>
        <n v="90.0"/>
        <n v="40.0"/>
        <n v="1560.0"/>
        <n v="50.0"/>
        <n v="750.0"/>
        <n v="100.0"/>
        <n v="160.0"/>
        <n v="30.0"/>
        <n v="575.0"/>
        <n v="655.0"/>
        <n v="800.0"/>
        <n v="70.0"/>
        <n v="550.0"/>
        <n v="2130.0"/>
        <n v="3810.0"/>
        <n v="385.0"/>
        <n v="380.0"/>
        <n v="1650.0"/>
        <n v="1450.0"/>
        <n v="4100.0"/>
        <n v="5560.0"/>
        <n v="45.0"/>
        <n v="2040.0"/>
        <n v="460.0"/>
        <n v="600.0"/>
        <n v="625.0"/>
        <n v="140.0"/>
        <n v="2300.0"/>
        <n v="135.0"/>
        <n v="180.0"/>
        <n v="435.0"/>
        <n v="5600.0"/>
        <n v="2775.0"/>
        <n v="900.0"/>
        <n v="25.0"/>
        <n v="675.0"/>
        <n v="4185.0"/>
        <n v="850.0"/>
        <n v="775.0"/>
        <n v="220.0"/>
        <n v="525.0"/>
        <n v="1350.0"/>
        <n v="320.0"/>
        <n v="825.0"/>
        <n v="1475.0"/>
        <n v="2865.0"/>
        <n v="275.0"/>
        <n v="15.0"/>
        <n v="2500.0"/>
        <n v="4860.0"/>
        <n v="1250.0"/>
        <n v="500.0"/>
        <n v="330.0"/>
        <n v="520.0"/>
        <n v="2550.0"/>
        <n v="5900.0"/>
        <n v="1850.0"/>
        <n v="2910.0"/>
        <n v="145.0"/>
        <n v="700.0"/>
        <n v="210.0"/>
        <n v="1040.0"/>
        <n v="4000.0"/>
        <n v="1215.0"/>
        <n v="270.0"/>
        <n v="315.0"/>
        <n v="1680.0"/>
        <n v="5200.0"/>
        <n v="215.0"/>
        <n v="225.0"/>
        <n v="300.0"/>
        <n v="975.0"/>
        <n v="1260.0"/>
        <n v="890.0"/>
        <n v="195.0"/>
        <n v="345.0"/>
        <n v="1360.0"/>
        <n v="1760.0"/>
        <n v="165.0"/>
        <n v="1580.0"/>
        <n v="1075.0"/>
        <n v="150.0"/>
        <n v="1425.0"/>
        <n v="475.0"/>
        <n v="175.0"/>
        <n v="1420.0"/>
        <n v="490.0"/>
        <n v="6725.0"/>
        <n v="310.0"/>
        <n v="920.0"/>
        <n v="480.0"/>
        <n v="3460.0"/>
        <n v="560.0"/>
        <n v="3425.0"/>
        <n v="440.0"/>
        <n v="1470.0"/>
        <n v="3225.0"/>
        <n v="1050.0"/>
        <n v="860.0"/>
        <n v="55.0"/>
        <n v="5920.0"/>
        <n v="2620.0"/>
        <n v="690.0"/>
        <n v="585.0"/>
        <n v="155.0"/>
        <n v="250.0"/>
        <n v="95.0"/>
        <n v="680.0"/>
        <n v="115.0"/>
        <n v="1125.0"/>
        <n v="6300.0"/>
        <n v="1100.0"/>
        <n v="450.0"/>
        <n v="1960.0"/>
        <n v="1000.0"/>
        <n v="2075.0"/>
        <n v="340.0"/>
        <n v="230.0"/>
        <n v="2685.0"/>
        <n v="35.0"/>
        <n v="950.0"/>
        <n v="945.0"/>
        <n v="65.0"/>
        <n v="1395.0"/>
        <n v="830.0"/>
        <n v="795.0"/>
        <n v="1120.0"/>
        <n v="1220.0"/>
        <n v="170.0"/>
        <n v="1300.0"/>
        <n v="1725.0"/>
        <n v="810.0"/>
      </sharedItems>
    </cacheField>
    <cacheField name="Year" numFmtId="0">
      <sharedItems containsSemiMixedTypes="0" containsString="0" containsNumber="1" containsInteger="1">
        <n v="2025.0"/>
      </sharedItems>
    </cacheField>
    <cacheField name="Month" numFmtId="0">
      <sharedItems containsSemiMixedTypes="0" containsString="0" containsNumber="1" containsInteger="1">
        <n v="11.0"/>
        <n v="3.0"/>
        <n v="8.0"/>
        <n v="9.0"/>
        <n v="12.0"/>
        <n v="5.0"/>
        <n v="2.0"/>
        <n v="1.0"/>
        <n v="7.0"/>
        <n v="10.0"/>
        <n v="4.0"/>
        <n v="6.0"/>
      </sharedItems>
    </cacheField>
    <cacheField name="High Value" numFmtId="0">
      <sharedItems>
        <s v="NO"/>
        <s v="YES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301" sheet="Raw Data"/>
  </cacheSource>
  <cacheFields>
    <cacheField name="Transaction 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</sharedItems>
    </cacheField>
    <cacheField name="Date" numFmtId="164">
      <sharedItems containsSemiMixedTypes="0" containsNonDate="0" containsDate="1" containsString="0">
        <d v="2025-11-24T00:00:00Z"/>
        <d v="2025-03-13T00:00:00Z"/>
        <d v="2025-08-05T00:00:00Z"/>
        <d v="2025-09-16T00:00:00Z"/>
        <d v="2025-12-26T00:00:00Z"/>
        <d v="2025-05-23T00:00:00Z"/>
        <d v="2025-03-21T00:00:00Z"/>
        <d v="2025-02-19T00:00:00Z"/>
        <d v="2025-08-24T00:00:00Z"/>
        <d v="2025-05-31T00:00:00Z"/>
        <d v="2025-01-24T00:00:00Z"/>
        <d v="2025-07-14T00:00:00Z"/>
        <d v="2025-07-01T00:00:00Z"/>
        <d v="2025-05-06T00:00:00Z"/>
        <d v="2025-12-19T00:00:00Z"/>
        <d v="2025-01-17T00:00:00Z"/>
        <d v="2025-10-18T00:00:00Z"/>
        <d v="2025-08-23T00:00:00Z"/>
        <d v="2025-10-03T00:00:00Z"/>
        <d v="2025-04-23T00:00:00Z"/>
        <d v="2025-02-26T00:00:00Z"/>
        <d v="2025-07-15T00:00:00Z"/>
        <d v="2025-01-06T00:00:00Z"/>
        <d v="2025-06-24T00:00:00Z"/>
        <d v="2025-01-02T00:00:00Z"/>
        <d v="2025-06-02T00:00:00Z"/>
        <d v="2025-03-24T00:00:00Z"/>
        <d v="2025-01-10T00:00:00Z"/>
        <d v="2025-05-04T00:00:00Z"/>
        <d v="2025-09-30T00:00:00Z"/>
        <d v="2025-09-28T00:00:00Z"/>
        <d v="2025-07-24T00:00:00Z"/>
        <d v="2025-05-07T00:00:00Z"/>
        <d v="2025-10-11T00:00:00Z"/>
        <d v="2025-01-31T00:00:00Z"/>
        <d v="2025-09-21T00:00:00Z"/>
        <d v="2025-03-09T00:00:00Z"/>
        <d v="2025-07-28T00:00:00Z"/>
        <d v="2025-07-26T00:00:00Z"/>
        <d v="2025-10-02T00:00:00Z"/>
        <d v="2025-08-25T00:00:00Z"/>
        <d v="2025-11-30T00:00:00Z"/>
        <d v="2025-03-26T00:00:00Z"/>
        <d v="2025-05-27T00:00:00Z"/>
        <d v="2025-04-08T00:00:00Z"/>
        <d v="2025-01-30T00:00:00Z"/>
        <d v="2025-09-18T00:00:00Z"/>
        <d v="2025-02-11T00:00:00Z"/>
        <d v="2025-04-15T00:00:00Z"/>
        <d v="2025-12-10T00:00:00Z"/>
        <d v="2025-04-20T00:00:00Z"/>
        <d v="2025-12-27T00:00:00Z"/>
        <d v="2025-02-23T00:00:00Z"/>
        <d v="2025-02-17T00:00:00Z"/>
        <d v="2025-03-08T00:00:00Z"/>
        <d v="2025-01-05T00:00:00Z"/>
        <d v="2025-10-26T00:00:00Z"/>
        <d v="2025-06-07T00:00:00Z"/>
        <d v="2025-12-08T00:00:00Z"/>
        <d v="2025-04-02T00:00:00Z"/>
        <d v="2025-04-13T00:00:00Z"/>
        <d v="2025-01-13T00:00:00Z"/>
        <d v="2025-03-01T00:00:00Z"/>
        <d v="2025-02-25T00:00:00Z"/>
        <d v="2025-11-07T00:00:00Z"/>
        <d v="2025-01-23T00:00:00Z"/>
        <d v="2025-08-09T00:00:00Z"/>
        <d v="2025-03-05T00:00:00Z"/>
        <d v="2025-08-15T00:00:00Z"/>
        <d v="2025-12-04T00:00:00Z"/>
        <d v="2025-05-01T00:00:00Z"/>
        <d v="2025-08-01T00:00:00Z"/>
        <d v="2025-05-05T00:00:00Z"/>
        <d v="2025-04-01T00:00:00Z"/>
        <d v="2025-08-22T00:00:00Z"/>
        <d v="2025-11-10T00:00:00Z"/>
        <d v="2025-09-01T00:00:00Z"/>
        <d v="2025-09-06T00:00:00Z"/>
        <d v="2025-03-19T00:00:00Z"/>
        <d v="2025-02-01T00:00:00Z"/>
        <d v="2025-08-03T00:00:00Z"/>
        <d v="2025-06-22T00:00:00Z"/>
        <d v="2025-11-15T00:00:00Z"/>
        <d v="2025-11-26T00:00:00Z"/>
        <d v="2025-05-14T00:00:00Z"/>
        <d v="2025-08-29T00:00:00Z"/>
        <d v="2025-04-25T00:00:00Z"/>
        <d v="2025-08-31T00:00:00Z"/>
        <d v="2025-07-08T00:00:00Z"/>
        <d v="2025-10-24T00:00:00Z"/>
        <d v="2025-04-12T00:00:00Z"/>
        <d v="2025-12-17T00:00:00Z"/>
        <d v="2025-11-28T00:00:00Z"/>
        <d v="2025-08-10T00:00:00Z"/>
        <d v="2025-09-25T00:00:00Z"/>
        <d v="2025-10-31T00:00:00Z"/>
        <d v="2025-08-19T00:00:00Z"/>
        <d v="2025-01-15T00:00:00Z"/>
        <d v="2025-09-08T00:00:00Z"/>
        <d v="2025-01-09T00:00:00Z"/>
        <d v="2025-06-06T00:00:00Z"/>
        <d v="2025-10-09T00:00:00Z"/>
        <d v="2025-05-09T00:00:00Z"/>
        <d v="2025-10-29T00:00:00Z"/>
        <d v="2025-06-01T00:00:00Z"/>
        <d v="2025-12-29T00:00:00Z"/>
        <d v="2025-10-21T00:00:00Z"/>
        <d v="2025-04-05T00:00:00Z"/>
        <d v="2025-07-25T00:00:00Z"/>
        <d v="2025-03-18T00:00:00Z"/>
        <d v="2025-10-13T00:00:00Z"/>
        <d v="2025-10-19T00:00:00Z"/>
        <d v="2025-11-17T00:00:00Z"/>
        <d v="2025-03-30T00:00:00Z"/>
        <d v="2025-05-28T00:00:00Z"/>
        <d v="2025-10-06T00:00:00Z"/>
        <d v="2025-09-14T00:00:00Z"/>
        <d v="2025-01-21T00:00:00Z"/>
        <d v="2025-02-16T00:00:00Z"/>
        <d v="2025-10-27T00:00:00Z"/>
        <d v="2025-06-28T00:00:00Z"/>
        <d v="2025-06-18T00:00:00Z"/>
        <d v="2025-05-10T00:00:00Z"/>
        <d v="2025-10-05T00:00:00Z"/>
        <d v="2025-07-05T00:00:00Z"/>
        <d v="2025-05-17T00:00:00Z"/>
        <d v="2025-03-04T00:00:00Z"/>
        <d v="2025-06-09T00:00:00Z"/>
        <d v="2025-04-26T00:00:00Z"/>
        <d v="2025-05-30T00:00:00Z"/>
        <d v="2025-08-30T00:00:00Z"/>
        <d v="2025-06-14T00:00:00Z"/>
        <d v="2025-07-30T00:00:00Z"/>
        <d v="2025-12-06T00:00:00Z"/>
        <d v="2025-10-30T00:00:00Z"/>
        <d v="2025-12-21T00:00:00Z"/>
        <d v="2025-02-05T00:00:00Z"/>
        <d v="2025-02-20T00:00:00Z"/>
        <d v="2025-12-16T00:00:00Z"/>
        <d v="2025-03-15T00:00:00Z"/>
        <d v="2025-06-04T00:00:00Z"/>
        <d v="2025-01-12T00:00:00Z"/>
        <d v="2025-09-12T00:00:00Z"/>
        <d v="2025-11-22T00:00:00Z"/>
        <d v="2025-11-27T00:00:00Z"/>
        <d v="2025-07-06T00:00:00Z"/>
        <d v="2025-03-31T00:00:00Z"/>
        <d v="2025-06-23T00:00:00Z"/>
        <d v="2025-12-13T00:00:00Z"/>
        <d v="2025-01-08T00:00:00Z"/>
        <d v="2025-12-11T00:00:00Z"/>
        <d v="2025-04-24T00:00:00Z"/>
        <d v="2025-07-29T00:00:00Z"/>
        <d v="2025-09-10T00:00:00Z"/>
        <d v="2025-08-21T00:00:00Z"/>
        <d v="2025-12-02T00:00:00Z"/>
        <d v="2025-07-23T00:00:00Z"/>
        <d v="2025-03-06T00:00:00Z"/>
        <d v="2025-04-21T00:00:00Z"/>
        <d v="2025-03-16T00:00:00Z"/>
        <d v="2025-01-14T00:00:00Z"/>
        <d v="2025-06-15T00:00:00Z"/>
        <d v="2025-08-04T00:00:00Z"/>
        <d v="2025-12-18T00:00:00Z"/>
        <d v="2025-11-16T00:00:00Z"/>
        <d v="2025-09-29T00:00:00Z"/>
        <d v="2025-08-20T00:00:00Z"/>
        <d v="2025-05-11T00:00:00Z"/>
        <d v="2025-02-13T00:00:00Z"/>
        <d v="2025-10-12T00:00:00Z"/>
        <d v="2025-11-04T00:00:00Z"/>
        <d v="2025-12-03T00:00:00Z"/>
        <d v="2025-10-15T00:00:00Z"/>
        <d v="2025-03-22T00:00:00Z"/>
        <d v="2025-12-05T00:00:00Z"/>
        <d v="2025-05-20T00:00:00Z"/>
        <d v="2025-03-03T00:00:00Z"/>
        <d v="2025-06-10T00:00:00Z"/>
        <d v="2025-08-02T00:00:00Z"/>
        <d v="2025-03-29T00:00:00Z"/>
        <d v="2025-02-24T00:00:00Z"/>
        <d v="2025-02-10T00:00:00Z"/>
        <d v="2025-03-28T00:00:00Z"/>
        <d v="2025-06-29T00:00:00Z"/>
        <d v="2025-02-04T00:00:00Z"/>
        <d v="2025-01-29T00:00:00Z"/>
        <d v="2025-10-25T00:00:00Z"/>
        <d v="2025-09-26T00:00:00Z"/>
        <d v="2025-05-25T00:00:00Z"/>
        <d v="2025-12-14T00:00:00Z"/>
        <d v="2025-10-14T00:00:00Z"/>
        <d v="2025-04-09T00:00:00Z"/>
        <d v="2025-02-21T00:00:00Z"/>
        <d v="2025-03-25T00:00:00Z"/>
        <d v="2025-04-30T00:00:00Z"/>
        <d v="2025-09-15T00:00:00Z"/>
        <d v="2025-03-12T00:00:00Z"/>
        <d v="2025-02-22T00:00:00Z"/>
        <d v="2025-07-22T00:00:00Z"/>
        <d v="2025-07-11T00:00:00Z"/>
        <d v="2025-06-21T00:00:00Z"/>
        <d v="2025-12-23T00:00:00Z"/>
        <d v="2025-11-02T00:00:00Z"/>
        <d v="2025-10-20T00:00:00Z"/>
        <d v="2025-09-27T00:00:00Z"/>
        <d v="2025-11-18T00:00:00Z"/>
        <d v="2025-06-30T00:00:00Z"/>
        <d v="2025-11-20T00:00:00Z"/>
      </sharedItems>
      <fieldGroup par="9"/>
    </cacheField>
    <cacheField name="Customer ID" numFmtId="0">
      <sharedItems>
        <s v="CUST001"/>
        <s v="CUST002"/>
        <s v="CUST003"/>
        <s v="CUST004"/>
        <s v="CUST005"/>
        <s v="CUST006"/>
        <s v="CUST007"/>
        <s v="CUST008"/>
        <s v="CUST009"/>
        <s v="CUST010"/>
        <s v="CUST011"/>
        <s v="CUST012"/>
        <s v="CUST013"/>
        <s v="CUST014"/>
        <s v="CUST015"/>
        <s v="CUST016"/>
        <s v="CUST017"/>
        <s v="CUST018"/>
        <s v="CUST019"/>
        <s v="CUST020"/>
        <s v="CUST021"/>
        <s v="CUST022"/>
        <s v="CUST023"/>
        <s v="CUST024"/>
        <s v="CUST025"/>
        <s v="CUST026"/>
        <s v="CUST027"/>
        <s v="CUST028"/>
        <s v="CUST029"/>
        <s v="CUST030"/>
        <s v="CUST031"/>
        <s v="CUST032"/>
        <s v="CUST033"/>
        <s v="CUST034"/>
        <s v="CUST035"/>
        <s v="CUST036"/>
        <s v="CUST037"/>
        <s v="CUST038"/>
        <s v="CUST039"/>
        <s v="CUST040"/>
        <s v="CUST041"/>
        <s v="CUST042"/>
        <s v="CUST043"/>
        <s v="CUST044"/>
        <s v="CUST045"/>
        <s v="CUST046"/>
        <s v="CUST047"/>
        <s v="CUST048"/>
        <s v="CUST049"/>
        <s v="CUST050"/>
        <s v="CUST051"/>
        <s v="CUST052"/>
        <s v="CUST053"/>
        <s v="CUST054"/>
        <s v="CUST055"/>
        <s v="CUST056"/>
        <s v="CUST057"/>
        <s v="CUST058"/>
        <s v="CUST059"/>
        <s v="CUST060"/>
        <s v="CUST061"/>
        <s v="CUST062"/>
        <s v="CUST063"/>
        <s v="CUST064"/>
        <s v="CUST065"/>
        <s v="CUST066"/>
        <s v="CUST067"/>
        <s v="CUST068"/>
        <s v="CUST069"/>
        <s v="CUST070"/>
        <s v="CUST071"/>
        <s v="CUST072"/>
        <s v="CUST073"/>
        <s v="CUST074"/>
        <s v="CUST075"/>
        <s v="CUST076"/>
        <s v="CUST077"/>
        <s v="CUST078"/>
        <s v="CUST079"/>
        <s v="CUST080"/>
        <s v="CUST081"/>
        <s v="CUST082"/>
        <s v="CUST083"/>
        <s v="CUST084"/>
        <s v="CUST085"/>
        <s v="CUST086"/>
        <s v="CUST087"/>
        <s v="CUST088"/>
        <s v="CUST089"/>
        <s v="CUST090"/>
        <s v="CUST091"/>
        <s v="CUST092"/>
        <s v="CUST093"/>
        <s v="CUST094"/>
        <s v="CUST095"/>
        <s v="CUST096"/>
        <s v="CUST097"/>
        <s v="CUST098"/>
        <s v="CUST099"/>
        <s v="CUST100"/>
        <s v="CUST101"/>
        <s v="CUST102"/>
        <s v="CUST103"/>
        <s v="CUST104"/>
        <s v="CUST105"/>
        <s v="CUST106"/>
        <s v="CUST107"/>
        <s v="CUST108"/>
        <s v="CUST109"/>
        <s v="CUST110"/>
        <s v="CUST111"/>
        <s v="CUST112"/>
        <s v="CUST113"/>
        <s v="CUST114"/>
        <s v="CUST115"/>
        <s v="CUST116"/>
        <s v="CUST117"/>
        <s v="CUST118"/>
        <s v="CUST119"/>
        <s v="CUST120"/>
        <s v="CUST121"/>
        <s v="CUST122"/>
        <s v="CUST123"/>
        <s v="CUST124"/>
        <s v="CUST125"/>
        <s v="CUST126"/>
        <s v="CUST127"/>
        <s v="CUST128"/>
        <s v="CUST129"/>
        <s v="CUST130"/>
        <s v="CUST131"/>
        <s v="CUST132"/>
        <s v="CUST133"/>
        <s v="CUST134"/>
        <s v="CUST135"/>
        <s v="CUST136"/>
        <s v="CUST137"/>
        <s v="CUST138"/>
        <s v="CUST139"/>
        <s v="CUST140"/>
        <s v="CUST141"/>
        <s v="CUST142"/>
        <s v="CUST143"/>
        <s v="CUST144"/>
        <s v="CUST145"/>
        <s v="CUST146"/>
        <s v="CUST147"/>
        <s v="CUST148"/>
        <s v="CUST149"/>
        <s v="CUST150"/>
        <s v="CUST151"/>
        <s v="CUST152"/>
        <s v="CUST153"/>
        <s v="CUST154"/>
        <s v="CUST155"/>
        <s v="CUST156"/>
        <s v="CUST157"/>
        <s v="CUST158"/>
        <s v="CUST159"/>
        <s v="CUST160"/>
        <s v="CUST161"/>
        <s v="CUST162"/>
        <s v="CUST163"/>
        <s v="CUST164"/>
        <s v="CUST165"/>
        <s v="CUST166"/>
        <s v="CUST167"/>
        <s v="CUST168"/>
        <s v="CUST169"/>
        <s v="CUST170"/>
        <s v="CUST171"/>
        <s v="CUST172"/>
        <s v="CUST173"/>
        <s v="CUST174"/>
        <s v="CUST175"/>
        <s v="CUST176"/>
        <s v="CUST177"/>
        <s v="CUST178"/>
        <s v="CUST179"/>
        <s v="CUST180"/>
        <s v="CUST181"/>
        <s v="CUST182"/>
        <s v="CUST183"/>
        <s v="CUST184"/>
        <s v="CUST185"/>
        <s v="CUST186"/>
        <s v="CUST187"/>
        <s v="CUST188"/>
        <s v="CUST189"/>
        <s v="CUST190"/>
        <s v="CUST191"/>
        <s v="CUST192"/>
        <s v="CUST193"/>
        <s v="CUST194"/>
        <s v="CUST195"/>
        <s v="CUST196"/>
        <s v="CUST197"/>
        <s v="CUST198"/>
        <s v="CUST199"/>
        <s v="CUST200"/>
        <s v="CUST201"/>
        <s v="CUST202"/>
        <s v="CUST203"/>
        <s v="CUST204"/>
        <s v="CUST205"/>
        <s v="CUST206"/>
        <s v="CUST207"/>
        <s v="CUST208"/>
        <s v="CUST209"/>
        <s v="CUST210"/>
        <s v="CUST211"/>
        <s v="CUST212"/>
        <s v="CUST213"/>
        <s v="CUST214"/>
        <s v="CUST215"/>
        <s v="CUST216"/>
        <s v="CUST217"/>
        <s v="CUST218"/>
        <s v="CUST219"/>
        <s v="CUST220"/>
        <s v="CUST221"/>
        <s v="CUST222"/>
        <s v="CUST223"/>
        <s v="CUST224"/>
        <s v="CUST225"/>
        <s v="CUST226"/>
        <s v="CUST227"/>
        <s v="CUST228"/>
        <s v="CUST229"/>
        <s v="CUST230"/>
        <s v="CUST231"/>
        <s v="CUST232"/>
        <s v="CUST233"/>
        <s v="CUST234"/>
        <s v="CUST235"/>
        <s v="CUST236"/>
        <s v="CUST237"/>
        <s v="CUST238"/>
        <s v="CUST239"/>
        <s v="CUST240"/>
        <s v="CUST241"/>
        <s v="CUST242"/>
        <s v="CUST243"/>
        <s v="CUST244"/>
        <s v="CUST245"/>
        <s v="CUST246"/>
        <s v="CUST247"/>
        <s v="CUST248"/>
        <s v="CUST249"/>
        <s v="CUST250"/>
        <s v="CUST251"/>
        <s v="CUST252"/>
        <s v="CUST253"/>
        <s v="CUST254"/>
        <s v="CUST255"/>
        <s v="CUST256"/>
        <s v="CUST257"/>
        <s v="CUST258"/>
        <s v="CUST259"/>
        <s v="CUST260"/>
        <s v="CUST261"/>
        <s v="CUST262"/>
        <s v="CUST263"/>
        <s v="CUST264"/>
        <s v="CUST265"/>
        <s v="CUST266"/>
        <s v="CUST267"/>
        <s v="CUST268"/>
        <s v="CUST269"/>
        <s v="CUST270"/>
        <s v="CUST271"/>
        <s v="CUST272"/>
        <s v="CUST273"/>
        <s v="CUST274"/>
        <s v="CUST275"/>
        <s v="CUST276"/>
        <s v="CUST277"/>
        <s v="CUST278"/>
        <s v="CUST279"/>
        <s v="CUST280"/>
        <s v="CUST281"/>
        <s v="CUST282"/>
        <s v="CUST283"/>
        <s v="CUST284"/>
        <s v="CUST285"/>
        <s v="CUST286"/>
        <s v="CUST287"/>
        <s v="CUST288"/>
        <s v="CUST289"/>
        <s v="CUST290"/>
        <s v="CUST291"/>
        <s v="CUST292"/>
        <s v="CUST293"/>
        <s v="CUST294"/>
        <s v="CUST295"/>
        <s v="CUST296"/>
        <s v="CUST297"/>
        <s v="CUST298"/>
        <s v="CUST299"/>
        <s v="CUST300"/>
      </sharedItems>
    </cacheField>
    <cacheField name="Gender" numFmtId="0">
      <sharedItems>
        <s v="Female"/>
        <s v="Male"/>
      </sharedItems>
    </cacheField>
    <cacheField name="Age" numFmtId="0">
      <sharedItems containsSemiMixedTypes="0" containsString="0" containsNumber="1" containsInteger="1">
        <n v="32.0"/>
        <n v="55.0"/>
        <n v="59.0"/>
        <n v="35.0"/>
        <n v="42.0"/>
        <n v="20.0"/>
        <n v="53.0"/>
        <n v="22.0"/>
        <n v="24.0"/>
        <n v="41.0"/>
        <n v="52.0"/>
        <n v="58.0"/>
        <n v="31.0"/>
        <n v="21.0"/>
        <n v="47.0"/>
        <n v="49.0"/>
        <n v="34.0"/>
        <n v="37.0"/>
        <n v="25.0"/>
        <n v="48.0"/>
        <n v="40.0"/>
        <n v="30.0"/>
        <n v="28.0"/>
        <n v="27.0"/>
        <n v="38.0"/>
        <n v="33.0"/>
        <n v="57.0"/>
        <n v="26.0"/>
        <n v="18.0"/>
        <n v="60.0"/>
        <n v="39.0"/>
        <n v="19.0"/>
        <n v="45.0"/>
        <n v="23.0"/>
        <n v="43.0"/>
        <n v="46.0"/>
        <n v="51.0"/>
        <n v="36.0"/>
        <n v="44.0"/>
        <n v="54.0"/>
        <n v="50.0"/>
        <n v="29.0"/>
        <n v="56.0"/>
      </sharedItems>
    </cacheField>
    <cacheField name="Product Category" numFmtId="0">
      <sharedItems>
        <s v="Beauty"/>
        <s v="Home"/>
        <s v="Clothing"/>
        <s v="Electronics"/>
        <s v="Groceries"/>
      </sharedItems>
    </cacheField>
    <cacheField name="Quantity" numFmtId="0">
      <sharedItems containsSemiMixedTypes="0" containsString="0" containsNumber="1" containsInteger="1">
        <n v="3.0"/>
        <n v="5.0"/>
        <n v="1.0"/>
        <n v="2.0"/>
        <n v="4.0"/>
      </sharedItems>
    </cacheField>
    <cacheField name="Price per Unit" numFmtId="0">
      <sharedItems containsSemiMixedTypes="0" containsString="0" containsNumber="1" containsInteger="1">
        <n v="20.0"/>
        <n v="230.0"/>
        <n v="40.0"/>
        <n v="290.0"/>
        <n v="65.0"/>
        <n v="125.0"/>
        <n v="980.0"/>
        <n v="100.0"/>
        <n v="255.0"/>
        <n v="110.0"/>
        <n v="1260.0"/>
        <n v="105.0"/>
        <n v="165.0"/>
        <n v="1125.0"/>
        <n v="640.0"/>
        <n v="1195.0"/>
        <n v="180.0"/>
        <n v="70.0"/>
        <n v="320.0"/>
        <n v="1380.0"/>
        <n v="410.0"/>
        <n v="360.0"/>
        <n v="130.0"/>
        <n v="75.0"/>
        <n v="60.0"/>
        <n v="295.0"/>
        <n v="1220.0"/>
        <n v="90.0"/>
        <n v="390.0"/>
        <n v="50.0"/>
        <n v="375.0"/>
        <n v="25.0"/>
        <n v="30.0"/>
        <n v="80.0"/>
        <n v="5.0"/>
        <n v="115.0"/>
        <n v="655.0"/>
        <n v="200.0"/>
        <n v="195.0"/>
        <n v="710.0"/>
        <n v="1270.0"/>
        <n v="385.0"/>
        <n v="190.0"/>
        <n v="825.0"/>
        <n v="1450.0"/>
        <n v="820.0"/>
        <n v="1390.0"/>
        <n v="45.0"/>
        <n v="510.0"/>
        <n v="35.0"/>
        <n v="1150.0"/>
        <n v="135.0"/>
        <n v="145.0"/>
        <n v="1400.0"/>
        <n v="555.0"/>
        <n v="300.0"/>
        <n v="95.0"/>
        <n v="225.0"/>
        <n v="1395.0"/>
        <n v="425.0"/>
        <n v="155.0"/>
        <n v="675.0"/>
        <n v="170.0"/>
        <n v="955.0"/>
        <n v="140.0"/>
        <n v="55.0"/>
        <n v="150.0"/>
        <n v="500.0"/>
        <n v="1215.0"/>
        <n v="120.0"/>
        <n v="250.0"/>
        <n v="220.0"/>
        <n v="210.0"/>
        <n v="1275.0"/>
        <n v="1475.0"/>
        <n v="925.0"/>
        <n v="970.0"/>
        <n v="175.0"/>
        <n v="260.0"/>
        <n v="1000.0"/>
        <n v="405.0"/>
        <n v="420.0"/>
        <n v="1300.0"/>
        <n v="15.0"/>
        <n v="215.0"/>
        <n v="325.0"/>
        <n v="445.0"/>
        <n v="340.0"/>
        <n v="440.0"/>
        <n v="395.0"/>
        <n v="160.0"/>
        <n v="475.0"/>
        <n v="350.0"/>
        <n v="355.0"/>
        <n v="245.0"/>
        <n v="1345.0"/>
        <n v="240.0"/>
        <n v="460.0"/>
        <n v="865.0"/>
        <n v="685.0"/>
        <n v="520.0"/>
        <n v="1470.0"/>
        <n v="1075.0"/>
        <n v="1480.0"/>
        <n v="585.0"/>
        <n v="400.0"/>
        <n v="490.0"/>
        <n v="415.0"/>
        <n v="895.0"/>
        <n v="315.0"/>
        <n v="495.0"/>
        <n v="265.0"/>
        <n v="560.0"/>
        <n v="370.0"/>
        <n v="305.0"/>
        <n v="85.0"/>
        <n v="650.0"/>
        <n v="345.0"/>
        <n v="270.0"/>
      </sharedItems>
    </cacheField>
    <cacheField name="Total Amount" numFmtId="0">
      <sharedItems containsSemiMixedTypes="0" containsString="0" containsNumber="1" containsInteger="1">
        <n v="60.0"/>
        <n v="1150.0"/>
        <n v="20.0"/>
        <n v="200.0"/>
        <n v="580.0"/>
        <n v="260.0"/>
        <n v="125.0"/>
        <n v="4900.0"/>
        <n v="400.0"/>
        <n v="1275.0"/>
        <n v="110.0"/>
        <n v="3780.0"/>
        <n v="105.0"/>
        <n v="660.0"/>
        <n v="495.0"/>
        <n v="3375.0"/>
        <n v="2560.0"/>
        <n v="5975.0"/>
        <n v="720.0"/>
        <n v="280.0"/>
        <n v="1600.0"/>
        <n v="420.0"/>
        <n v="2760.0"/>
        <n v="820.0"/>
        <n v="360.0"/>
        <n v="390.0"/>
        <n v="75.0"/>
        <n v="240.0"/>
        <n v="590.0"/>
        <n v="6100.0"/>
        <n v="120.0"/>
        <n v="90.0"/>
        <n v="40.0"/>
        <n v="1560.0"/>
        <n v="50.0"/>
        <n v="750.0"/>
        <n v="100.0"/>
        <n v="160.0"/>
        <n v="30.0"/>
        <n v="575.0"/>
        <n v="655.0"/>
        <n v="800.0"/>
        <n v="70.0"/>
        <n v="550.0"/>
        <n v="2130.0"/>
        <n v="3810.0"/>
        <n v="385.0"/>
        <n v="380.0"/>
        <n v="1650.0"/>
        <n v="1450.0"/>
        <n v="4100.0"/>
        <n v="5560.0"/>
        <n v="45.0"/>
        <n v="2040.0"/>
        <n v="460.0"/>
        <n v="600.0"/>
        <n v="625.0"/>
        <n v="140.0"/>
        <n v="2300.0"/>
        <n v="135.0"/>
        <n v="180.0"/>
        <n v="435.0"/>
        <n v="5600.0"/>
        <n v="2775.0"/>
        <n v="900.0"/>
        <n v="25.0"/>
        <n v="675.0"/>
        <n v="4185.0"/>
        <n v="850.0"/>
        <n v="775.0"/>
        <n v="220.0"/>
        <n v="525.0"/>
        <n v="1350.0"/>
        <n v="320.0"/>
        <n v="825.0"/>
        <n v="1475.0"/>
        <n v="2865.0"/>
        <n v="275.0"/>
        <n v="15.0"/>
        <n v="2500.0"/>
        <n v="4860.0"/>
        <n v="1250.0"/>
        <n v="500.0"/>
        <n v="330.0"/>
        <n v="520.0"/>
        <n v="2550.0"/>
        <n v="5900.0"/>
        <n v="1850.0"/>
        <n v="2910.0"/>
        <n v="145.0"/>
        <n v="700.0"/>
        <n v="210.0"/>
        <n v="1040.0"/>
        <n v="4000.0"/>
        <n v="1215.0"/>
        <n v="270.0"/>
        <n v="315.0"/>
        <n v="1680.0"/>
        <n v="5200.0"/>
        <n v="215.0"/>
        <n v="225.0"/>
        <n v="300.0"/>
        <n v="975.0"/>
        <n v="1260.0"/>
        <n v="890.0"/>
        <n v="195.0"/>
        <n v="345.0"/>
        <n v="1360.0"/>
        <n v="1760.0"/>
        <n v="165.0"/>
        <n v="1580.0"/>
        <n v="1075.0"/>
        <n v="150.0"/>
        <n v="1425.0"/>
        <n v="475.0"/>
        <n v="175.0"/>
        <n v="1420.0"/>
        <n v="490.0"/>
        <n v="6725.0"/>
        <n v="310.0"/>
        <n v="920.0"/>
        <n v="480.0"/>
        <n v="3460.0"/>
        <n v="560.0"/>
        <n v="3425.0"/>
        <n v="440.0"/>
        <n v="1470.0"/>
        <n v="3225.0"/>
        <n v="1050.0"/>
        <n v="860.0"/>
        <n v="55.0"/>
        <n v="5920.0"/>
        <n v="2620.0"/>
        <n v="690.0"/>
        <n v="585.0"/>
        <n v="155.0"/>
        <n v="250.0"/>
        <n v="95.0"/>
        <n v="680.0"/>
        <n v="115.0"/>
        <n v="1125.0"/>
        <n v="6300.0"/>
        <n v="1100.0"/>
        <n v="450.0"/>
        <n v="1960.0"/>
        <n v="1000.0"/>
        <n v="2075.0"/>
        <n v="340.0"/>
        <n v="230.0"/>
        <n v="2685.0"/>
        <n v="35.0"/>
        <n v="950.0"/>
        <n v="945.0"/>
        <n v="65.0"/>
        <n v="1395.0"/>
        <n v="830.0"/>
        <n v="795.0"/>
        <n v="1120.0"/>
        <n v="1220.0"/>
        <n v="170.0"/>
        <n v="1300.0"/>
        <n v="1725.0"/>
        <n v="810.0"/>
      </sharedItems>
    </cacheField>
    <cacheField name="date2" databaseField="0">
      <fieldGroup base="1">
        <rangePr autoStart="0" autoEnd="0" groupBy="months" startDate="2025-01-02T00:00:00Z" endDate="2025-12-30T00:00:00Z"/>
        <groupItems>
          <s v="&lt;01/02/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0/25"/>
        </groupItems>
      </fieldGroup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 Table 7" cacheId="0" dataCaption="" compact="0" compactData="0">
  <location ref="A1:B7" firstHeaderRow="0" firstDataRow="1" firstDataCol="0"/>
  <pivotFields>
    <pivotField name="Transaction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Product Category" axis="axisRow" compact="0" outline="0" multipleItemSelectionAllowed="1" showAll="0" sortType="ascending">
      <items>
        <item x="0"/>
        <item x="2"/>
        <item x="3"/>
        <item x="4"/>
        <item x="1"/>
        <item t="default"/>
      </items>
    </pivotField>
    <pivotField name="Quantity" dataField="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ice per Un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t="default"/>
      </items>
    </pivotField>
    <pivotField name="Total 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t="default"/>
      </items>
    </pivotField>
  </pivotFields>
  <rowFields>
    <field x="5"/>
  </rowFields>
  <dataFields>
    <dataField name="SUM of Quantity" fld="6" baseField="0"/>
  </dataFields>
</pivotTableDefinition>
</file>

<file path=xl/pivotTables/pivotTable2.xml><?xml version="1.0" encoding="utf-8"?>
<pivotTableDefinition xmlns="http://schemas.openxmlformats.org/spreadsheetml/2006/main" name="Pivot Table 6" cacheId="2" dataCaption="" compact="0" compactData="0">
  <location ref="A1:B14" firstHeaderRow="0" firstDataRow="1" firstDataCol="0"/>
  <pivotFields>
    <pivotField name="Transaction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Product Categ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ice per Un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t="default"/>
      </items>
    </pivotField>
    <pivotField name="Total Am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t="default"/>
      </items>
    </pivotField>
    <pivotField name="date2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>
    <field x="9"/>
  </rowFields>
  <dataFields>
    <dataField name="SUM of Total Amount" fld="8" baseField="0"/>
  </dataFields>
</pivotTableDefinition>
</file>

<file path=xl/pivotTables/pivotTable3.xml><?xml version="1.0" encoding="utf-8"?>
<pivotTableDefinition xmlns="http://schemas.openxmlformats.org/spreadsheetml/2006/main" name="Pivot Table 5" cacheId="0" dataCaption="" compact="0" compactData="0">
  <location ref="A1:B4" firstHeaderRow="0" firstDataRow="1" firstDataCol="0"/>
  <pivotFields>
    <pivotField name="Transaction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name="Gender" axis="axisRow" compact="0" outline="0" multipleItemSelectionAllowed="1" showAll="0" sortType="ascending">
      <items>
        <item x="0"/>
        <item x="1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Product Categ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ice per Un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t="default"/>
      </items>
    </pivotField>
    <pivotField name="Total Am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t="default"/>
      </items>
    </pivotField>
  </pivotFields>
  <rowFields>
    <field x="3"/>
  </rowFields>
  <dataFields>
    <dataField name="SUM of Total Amount" fld="8" baseField="0"/>
  </dataFields>
</pivotTableDefinition>
</file>

<file path=xl/pivotTables/pivotTable4.xml><?xml version="1.0" encoding="utf-8"?>
<pivotTableDefinition xmlns="http://schemas.openxmlformats.org/spreadsheetml/2006/main" name="Pivot Table 4" cacheId="0" dataCaption="" compact="0" compactData="0">
  <location ref="A1:B7" firstHeaderRow="0" firstDataRow="1" firstDataCol="0"/>
  <pivotFields>
    <pivotField name="Transaction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Product Category" axis="axisRow" compact="0" outline="0" multipleItemSelectionAllowed="1" showAll="0" sortType="ascending">
      <items>
        <item x="0"/>
        <item x="2"/>
        <item x="3"/>
        <item x="4"/>
        <item x="1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ice per Un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t="default"/>
      </items>
    </pivotField>
    <pivotField name="Total Am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t="default"/>
      </items>
    </pivotField>
  </pivotFields>
  <rowFields>
    <field x="5"/>
  </rowFields>
  <dataFields>
    <dataField name="SUM of Total Amount" fld="8" baseField="0"/>
  </dataFields>
</pivotTableDefinition>
</file>

<file path=xl/pivotTables/pivotTable5.xml><?xml version="1.0" encoding="utf-8"?>
<pivotTableDefinition xmlns="http://schemas.openxmlformats.org/spreadsheetml/2006/main" name="Pivot Table 3" cacheId="1" dataCaption="" compact="0" compactData="0">
  <location ref="A1:B14" firstHeaderRow="0" firstDataRow="1" firstDataCol="0"/>
  <pivotFields>
    <pivotField name="Transaction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Product Categ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ice per Un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t="default"/>
      </items>
    </pivotField>
    <pivotField name="Total Am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t="default"/>
      </items>
    </pivotField>
    <pivotField name="Year" compact="0" outline="0" multipleItemSelectionAllowed="1" showAll="0">
      <items>
        <item x="0"/>
        <item t="default"/>
      </items>
    </pivotField>
    <pivotField name="Month" axis="axisRow" compact="0" outline="0" multipleItemSelectionAllowed="1" showAll="0" sortType="ascending">
      <items>
        <item x="7"/>
        <item x="6"/>
        <item x="1"/>
        <item x="10"/>
        <item x="5"/>
        <item x="11"/>
        <item x="8"/>
        <item x="2"/>
        <item x="3"/>
        <item x="9"/>
        <item x="0"/>
        <item x="4"/>
        <item t="default"/>
      </items>
    </pivotField>
    <pivotField name="High Value" compact="0" outline="0" multipleItemSelectionAllowed="1" showAll="0">
      <items>
        <item x="0"/>
        <item x="1"/>
        <item t="default"/>
      </items>
    </pivotField>
  </pivotFields>
  <rowFields>
    <field x="10"/>
  </rowFields>
  <dataFields>
    <dataField name="SUM of Total Amount" fld="8" baseField="0"/>
  </dataFields>
</pivotTableDefinition>
</file>

<file path=xl/pivotTables/pivotTable6.xml><?xml version="1.0" encoding="utf-8"?>
<pivotTableDefinition xmlns="http://schemas.openxmlformats.org/spreadsheetml/2006/main" name="Pivot Table 2" cacheId="1" dataCaption="" compact="0" compactData="0">
  <location ref="A1:B4" firstHeaderRow="0" firstDataRow="1" firstDataCol="0"/>
  <pivotFields>
    <pivotField name="Transaction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name="Gender" axis="axisRow" compact="0" outline="0" multipleItemSelectionAllowed="1" showAll="0" sortType="ascending">
      <items>
        <item x="0"/>
        <item x="1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Product Categ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ice per Un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t="default"/>
      </items>
    </pivotField>
    <pivotField name="Total Am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t="default"/>
      </items>
    </pivotField>
    <pivotField name="Year" compact="0" outline="0" multipleItemSelectionAllowed="1" showAll="0">
      <items>
        <item x="0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High Value" compact="0" outline="0" multipleItemSelectionAllowed="1" showAll="0">
      <items>
        <item x="0"/>
        <item x="1"/>
        <item t="default"/>
      </items>
    </pivotField>
  </pivotFields>
  <rowFields>
    <field x="3"/>
  </rowFields>
  <dataFields>
    <dataField name="SUM of Total Amount" fld="8" baseField="0"/>
  </dataFields>
</pivotTableDefinition>
</file>

<file path=xl/pivotTables/pivotTable7.xml><?xml version="1.0" encoding="utf-8"?>
<pivotTableDefinition xmlns="http://schemas.openxmlformats.org/spreadsheetml/2006/main" name="Pivot Table 1" cacheId="1" dataCaption="" compact="0" compactData="0">
  <location ref="A1:B7" firstHeaderRow="0" firstDataRow="1" firstDataCol="0"/>
  <pivotFields>
    <pivotField name="Transaction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Product Category" axis="axisRow" compact="0" outline="0" multipleItemSelectionAllowed="1" showAll="0" sortType="ascending">
      <items>
        <item x="0"/>
        <item x="2"/>
        <item x="3"/>
        <item x="4"/>
        <item x="1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ice per Un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t="default"/>
      </items>
    </pivotField>
    <pivotField name="Total Am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t="default"/>
      </items>
    </pivotField>
    <pivotField name="Year" compact="0" outline="0" multipleItemSelectionAllowed="1" showAll="0">
      <items>
        <item x="0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High Value" compact="0" outline="0" multipleItemSelectionAllowed="1" showAll="0">
      <items>
        <item x="0"/>
        <item x="1"/>
        <item t="default"/>
      </items>
    </pivotField>
  </pivotFields>
  <rowFields>
    <field x="5"/>
  </rowFields>
  <dataFields>
    <dataField name="SUM of Total Amount" fld="8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7.xm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</row>
    <row r="2">
      <c r="A2" s="3">
        <v>1.0</v>
      </c>
      <c r="B2" s="4">
        <v>45985.0</v>
      </c>
      <c r="C2" s="3" t="s">
        <v>9</v>
      </c>
      <c r="D2" s="3" t="s">
        <v>10</v>
      </c>
      <c r="E2" s="3">
        <v>32.0</v>
      </c>
      <c r="F2" s="3" t="s">
        <v>11</v>
      </c>
      <c r="G2" s="3">
        <v>3.0</v>
      </c>
      <c r="H2" s="3">
        <v>20.0</v>
      </c>
      <c r="I2" s="3">
        <v>60.0</v>
      </c>
      <c r="J2" s="2"/>
      <c r="K2" s="2"/>
    </row>
    <row r="3">
      <c r="A3" s="3">
        <v>2.0</v>
      </c>
      <c r="B3" s="4">
        <v>45729.0</v>
      </c>
      <c r="C3" s="3" t="s">
        <v>12</v>
      </c>
      <c r="D3" s="3" t="s">
        <v>10</v>
      </c>
      <c r="E3" s="3">
        <v>55.0</v>
      </c>
      <c r="F3" s="3" t="s">
        <v>11</v>
      </c>
      <c r="G3" s="3">
        <v>5.0</v>
      </c>
      <c r="H3" s="3">
        <v>230.0</v>
      </c>
      <c r="I3" s="3">
        <v>1150.0</v>
      </c>
      <c r="J3" s="2"/>
      <c r="K3" s="2"/>
    </row>
    <row r="4">
      <c r="A4" s="3">
        <v>3.0</v>
      </c>
      <c r="B4" s="4">
        <v>45874.0</v>
      </c>
      <c r="C4" s="3" t="s">
        <v>13</v>
      </c>
      <c r="D4" s="3" t="s">
        <v>10</v>
      </c>
      <c r="E4" s="3">
        <v>32.0</v>
      </c>
      <c r="F4" s="3" t="s">
        <v>11</v>
      </c>
      <c r="G4" s="3">
        <v>1.0</v>
      </c>
      <c r="H4" s="3">
        <v>20.0</v>
      </c>
      <c r="I4" s="3">
        <v>20.0</v>
      </c>
      <c r="J4" s="2"/>
      <c r="K4" s="2"/>
    </row>
    <row r="5">
      <c r="A5" s="3">
        <v>4.0</v>
      </c>
      <c r="B5" s="4">
        <v>45916.0</v>
      </c>
      <c r="C5" s="3" t="s">
        <v>14</v>
      </c>
      <c r="D5" s="3" t="s">
        <v>10</v>
      </c>
      <c r="E5" s="3">
        <v>59.0</v>
      </c>
      <c r="F5" s="3" t="s">
        <v>15</v>
      </c>
      <c r="G5" s="3">
        <v>5.0</v>
      </c>
      <c r="H5" s="3">
        <v>40.0</v>
      </c>
      <c r="I5" s="3">
        <v>200.0</v>
      </c>
      <c r="J5" s="2"/>
      <c r="K5" s="2"/>
    </row>
    <row r="6">
      <c r="A6" s="3">
        <v>5.0</v>
      </c>
      <c r="B6" s="4">
        <v>46017.0</v>
      </c>
      <c r="C6" s="3" t="s">
        <v>16</v>
      </c>
      <c r="D6" s="3" t="s">
        <v>17</v>
      </c>
      <c r="E6" s="3">
        <v>55.0</v>
      </c>
      <c r="F6" s="3" t="s">
        <v>15</v>
      </c>
      <c r="G6" s="3">
        <v>2.0</v>
      </c>
      <c r="H6" s="3">
        <v>290.0</v>
      </c>
      <c r="I6" s="3">
        <v>580.0</v>
      </c>
      <c r="J6" s="2"/>
      <c r="K6" s="2"/>
    </row>
    <row r="7">
      <c r="A7" s="3">
        <v>6.0</v>
      </c>
      <c r="B7" s="4">
        <v>45800.0</v>
      </c>
      <c r="C7" s="3" t="s">
        <v>18</v>
      </c>
      <c r="D7" s="3" t="s">
        <v>17</v>
      </c>
      <c r="E7" s="3">
        <v>35.0</v>
      </c>
      <c r="F7" s="3" t="s">
        <v>11</v>
      </c>
      <c r="G7" s="3">
        <v>4.0</v>
      </c>
      <c r="H7" s="3">
        <v>65.0</v>
      </c>
      <c r="I7" s="3">
        <v>260.0</v>
      </c>
      <c r="J7" s="2"/>
      <c r="K7" s="2"/>
    </row>
    <row r="8">
      <c r="A8" s="3">
        <v>7.0</v>
      </c>
      <c r="B8" s="4">
        <v>45737.0</v>
      </c>
      <c r="C8" s="3" t="s">
        <v>19</v>
      </c>
      <c r="D8" s="3" t="s">
        <v>10</v>
      </c>
      <c r="E8" s="3">
        <v>42.0</v>
      </c>
      <c r="F8" s="3" t="s">
        <v>20</v>
      </c>
      <c r="G8" s="3">
        <v>1.0</v>
      </c>
      <c r="H8" s="3">
        <v>125.0</v>
      </c>
      <c r="I8" s="3">
        <v>125.0</v>
      </c>
      <c r="J8" s="2"/>
      <c r="K8" s="2"/>
    </row>
    <row r="9">
      <c r="A9" s="3">
        <v>8.0</v>
      </c>
      <c r="B9" s="4">
        <v>45707.0</v>
      </c>
      <c r="C9" s="3" t="s">
        <v>21</v>
      </c>
      <c r="D9" s="3" t="s">
        <v>17</v>
      </c>
      <c r="E9" s="3">
        <v>20.0</v>
      </c>
      <c r="F9" s="3" t="s">
        <v>22</v>
      </c>
      <c r="G9" s="3">
        <v>5.0</v>
      </c>
      <c r="H9" s="3">
        <v>980.0</v>
      </c>
      <c r="I9" s="3">
        <v>4900.0</v>
      </c>
      <c r="J9" s="2"/>
      <c r="K9" s="2"/>
    </row>
    <row r="10">
      <c r="A10" s="3">
        <v>9.0</v>
      </c>
      <c r="B10" s="4">
        <v>45893.0</v>
      </c>
      <c r="C10" s="3" t="s">
        <v>23</v>
      </c>
      <c r="D10" s="3" t="s">
        <v>10</v>
      </c>
      <c r="E10" s="3">
        <v>53.0</v>
      </c>
      <c r="F10" s="3" t="s">
        <v>15</v>
      </c>
      <c r="G10" s="3">
        <v>4.0</v>
      </c>
      <c r="H10" s="3">
        <v>100.0</v>
      </c>
      <c r="I10" s="3">
        <v>400.0</v>
      </c>
      <c r="J10" s="2"/>
      <c r="K10" s="2"/>
    </row>
    <row r="11">
      <c r="A11" s="3">
        <v>10.0</v>
      </c>
      <c r="B11" s="4">
        <v>45808.0</v>
      </c>
      <c r="C11" s="3" t="s">
        <v>24</v>
      </c>
      <c r="D11" s="3" t="s">
        <v>10</v>
      </c>
      <c r="E11" s="3">
        <v>22.0</v>
      </c>
      <c r="F11" s="3" t="s">
        <v>15</v>
      </c>
      <c r="G11" s="3">
        <v>5.0</v>
      </c>
      <c r="H11" s="3">
        <v>255.0</v>
      </c>
      <c r="I11" s="3">
        <v>1275.0</v>
      </c>
      <c r="J11" s="2"/>
      <c r="K11" s="2"/>
    </row>
    <row r="12">
      <c r="A12" s="3">
        <v>11.0</v>
      </c>
      <c r="B12" s="4">
        <v>45681.0</v>
      </c>
      <c r="C12" s="3" t="s">
        <v>25</v>
      </c>
      <c r="D12" s="3" t="s">
        <v>10</v>
      </c>
      <c r="E12" s="3">
        <v>24.0</v>
      </c>
      <c r="F12" s="3" t="s">
        <v>20</v>
      </c>
      <c r="G12" s="3">
        <v>1.0</v>
      </c>
      <c r="H12" s="3">
        <v>110.0</v>
      </c>
      <c r="I12" s="3">
        <v>110.0</v>
      </c>
      <c r="J12" s="2"/>
      <c r="K12" s="2"/>
    </row>
    <row r="13">
      <c r="A13" s="3">
        <v>12.0</v>
      </c>
      <c r="B13" s="4">
        <v>45852.0</v>
      </c>
      <c r="C13" s="3" t="s">
        <v>26</v>
      </c>
      <c r="D13" s="3" t="s">
        <v>10</v>
      </c>
      <c r="E13" s="3">
        <v>41.0</v>
      </c>
      <c r="F13" s="3" t="s">
        <v>22</v>
      </c>
      <c r="G13" s="3">
        <v>3.0</v>
      </c>
      <c r="H13" s="3">
        <v>1260.0</v>
      </c>
      <c r="I13" s="3">
        <v>3780.0</v>
      </c>
      <c r="J13" s="2"/>
      <c r="K13" s="2"/>
    </row>
    <row r="14">
      <c r="A14" s="3">
        <v>13.0</v>
      </c>
      <c r="B14" s="4">
        <v>45839.0</v>
      </c>
      <c r="C14" s="3" t="s">
        <v>27</v>
      </c>
      <c r="D14" s="3" t="s">
        <v>10</v>
      </c>
      <c r="E14" s="3">
        <v>52.0</v>
      </c>
      <c r="F14" s="3" t="s">
        <v>20</v>
      </c>
      <c r="G14" s="3">
        <v>1.0</v>
      </c>
      <c r="H14" s="3">
        <v>105.0</v>
      </c>
      <c r="I14" s="3">
        <v>105.0</v>
      </c>
      <c r="J14" s="2"/>
      <c r="K14" s="2"/>
    </row>
    <row r="15">
      <c r="A15" s="3">
        <v>14.0</v>
      </c>
      <c r="B15" s="4">
        <v>45783.0</v>
      </c>
      <c r="C15" s="3" t="s">
        <v>28</v>
      </c>
      <c r="D15" s="3" t="s">
        <v>17</v>
      </c>
      <c r="E15" s="3">
        <v>58.0</v>
      </c>
      <c r="F15" s="3" t="s">
        <v>20</v>
      </c>
      <c r="G15" s="3">
        <v>4.0</v>
      </c>
      <c r="H15" s="3">
        <v>165.0</v>
      </c>
      <c r="I15" s="3">
        <v>660.0</v>
      </c>
      <c r="J15" s="2"/>
      <c r="K15" s="2"/>
    </row>
    <row r="16">
      <c r="A16" s="3">
        <v>15.0</v>
      </c>
      <c r="B16" s="4">
        <v>46010.0</v>
      </c>
      <c r="C16" s="3" t="s">
        <v>29</v>
      </c>
      <c r="D16" s="3" t="s">
        <v>10</v>
      </c>
      <c r="E16" s="3">
        <v>32.0</v>
      </c>
      <c r="F16" s="3" t="s">
        <v>15</v>
      </c>
      <c r="G16" s="3">
        <v>3.0</v>
      </c>
      <c r="H16" s="3">
        <v>165.0</v>
      </c>
      <c r="I16" s="3">
        <v>495.0</v>
      </c>
      <c r="J16" s="2"/>
      <c r="K16" s="2"/>
    </row>
    <row r="17">
      <c r="A17" s="3">
        <v>16.0</v>
      </c>
      <c r="B17" s="4">
        <v>45674.0</v>
      </c>
      <c r="C17" s="3" t="s">
        <v>30</v>
      </c>
      <c r="D17" s="3" t="s">
        <v>10</v>
      </c>
      <c r="E17" s="3">
        <v>31.0</v>
      </c>
      <c r="F17" s="3" t="s">
        <v>22</v>
      </c>
      <c r="G17" s="3">
        <v>3.0</v>
      </c>
      <c r="H17" s="3">
        <v>1125.0</v>
      </c>
      <c r="I17" s="3">
        <v>3375.0</v>
      </c>
      <c r="J17" s="2"/>
      <c r="K17" s="2"/>
    </row>
    <row r="18">
      <c r="A18" s="3">
        <v>17.0</v>
      </c>
      <c r="B18" s="4">
        <v>45948.0</v>
      </c>
      <c r="C18" s="3" t="s">
        <v>31</v>
      </c>
      <c r="D18" s="3" t="s">
        <v>17</v>
      </c>
      <c r="E18" s="3">
        <v>59.0</v>
      </c>
      <c r="F18" s="3" t="s">
        <v>22</v>
      </c>
      <c r="G18" s="3">
        <v>4.0</v>
      </c>
      <c r="H18" s="3">
        <v>640.0</v>
      </c>
      <c r="I18" s="3">
        <v>2560.0</v>
      </c>
      <c r="J18" s="2"/>
      <c r="K18" s="2"/>
    </row>
    <row r="19">
      <c r="A19" s="3">
        <v>18.0</v>
      </c>
      <c r="B19" s="4">
        <v>45892.0</v>
      </c>
      <c r="C19" s="3" t="s">
        <v>32</v>
      </c>
      <c r="D19" s="3" t="s">
        <v>10</v>
      </c>
      <c r="E19" s="3">
        <v>53.0</v>
      </c>
      <c r="F19" s="3" t="s">
        <v>20</v>
      </c>
      <c r="G19" s="3">
        <v>2.0</v>
      </c>
      <c r="H19" s="3">
        <v>100.0</v>
      </c>
      <c r="I19" s="3">
        <v>200.0</v>
      </c>
      <c r="J19" s="2"/>
      <c r="K19" s="2"/>
    </row>
    <row r="20">
      <c r="A20" s="3">
        <v>19.0</v>
      </c>
      <c r="B20" s="4">
        <v>45933.0</v>
      </c>
      <c r="C20" s="3" t="s">
        <v>33</v>
      </c>
      <c r="D20" s="3" t="s">
        <v>17</v>
      </c>
      <c r="E20" s="3">
        <v>41.0</v>
      </c>
      <c r="F20" s="3" t="s">
        <v>22</v>
      </c>
      <c r="G20" s="3">
        <v>5.0</v>
      </c>
      <c r="H20" s="3">
        <v>1195.0</v>
      </c>
      <c r="I20" s="3">
        <v>5975.0</v>
      </c>
      <c r="J20" s="2"/>
      <c r="K20" s="2"/>
    </row>
    <row r="21">
      <c r="A21" s="3">
        <v>20.0</v>
      </c>
      <c r="B21" s="4">
        <v>45770.0</v>
      </c>
      <c r="C21" s="3" t="s">
        <v>34</v>
      </c>
      <c r="D21" s="3" t="s">
        <v>10</v>
      </c>
      <c r="E21" s="3">
        <v>21.0</v>
      </c>
      <c r="F21" s="3" t="s">
        <v>20</v>
      </c>
      <c r="G21" s="3">
        <v>4.0</v>
      </c>
      <c r="H21" s="3">
        <v>180.0</v>
      </c>
      <c r="I21" s="3">
        <v>720.0</v>
      </c>
      <c r="J21" s="2"/>
      <c r="K21" s="2"/>
    </row>
    <row r="22">
      <c r="A22" s="3">
        <v>21.0</v>
      </c>
      <c r="B22" s="4">
        <v>45714.0</v>
      </c>
      <c r="C22" s="3" t="s">
        <v>35</v>
      </c>
      <c r="D22" s="3" t="s">
        <v>10</v>
      </c>
      <c r="E22" s="3">
        <v>42.0</v>
      </c>
      <c r="F22" s="3" t="s">
        <v>20</v>
      </c>
      <c r="G22" s="3">
        <v>4.0</v>
      </c>
      <c r="H22" s="3">
        <v>70.0</v>
      </c>
      <c r="I22" s="3">
        <v>280.0</v>
      </c>
      <c r="J22" s="2"/>
      <c r="K22" s="2"/>
    </row>
    <row r="23">
      <c r="A23" s="3">
        <v>22.0</v>
      </c>
      <c r="B23" s="4">
        <v>45853.0</v>
      </c>
      <c r="C23" s="3" t="s">
        <v>36</v>
      </c>
      <c r="D23" s="3" t="s">
        <v>17</v>
      </c>
      <c r="E23" s="3">
        <v>53.0</v>
      </c>
      <c r="F23" s="3" t="s">
        <v>15</v>
      </c>
      <c r="G23" s="3">
        <v>5.0</v>
      </c>
      <c r="H23" s="3">
        <v>320.0</v>
      </c>
      <c r="I23" s="3">
        <v>1600.0</v>
      </c>
      <c r="J23" s="2"/>
      <c r="K23" s="2"/>
    </row>
    <row r="24">
      <c r="A24" s="3">
        <v>23.0</v>
      </c>
      <c r="B24" s="4">
        <v>45663.0</v>
      </c>
      <c r="C24" s="3" t="s">
        <v>37</v>
      </c>
      <c r="D24" s="3" t="s">
        <v>17</v>
      </c>
      <c r="E24" s="3">
        <v>59.0</v>
      </c>
      <c r="F24" s="3" t="s">
        <v>11</v>
      </c>
      <c r="G24" s="3">
        <v>5.0</v>
      </c>
      <c r="H24" s="3">
        <v>230.0</v>
      </c>
      <c r="I24" s="3">
        <v>1150.0</v>
      </c>
      <c r="J24" s="2"/>
      <c r="K24" s="2"/>
    </row>
    <row r="25">
      <c r="A25" s="3">
        <v>24.0</v>
      </c>
      <c r="B25" s="4">
        <v>45832.0</v>
      </c>
      <c r="C25" s="3" t="s">
        <v>38</v>
      </c>
      <c r="D25" s="3" t="s">
        <v>10</v>
      </c>
      <c r="E25" s="3">
        <v>47.0</v>
      </c>
      <c r="F25" s="3" t="s">
        <v>11</v>
      </c>
      <c r="G25" s="3">
        <v>4.0</v>
      </c>
      <c r="H25" s="3">
        <v>105.0</v>
      </c>
      <c r="I25" s="3">
        <v>420.0</v>
      </c>
      <c r="J25" s="2"/>
      <c r="K25" s="2"/>
    </row>
    <row r="26">
      <c r="A26" s="3">
        <v>25.0</v>
      </c>
      <c r="B26" s="4">
        <v>45659.0</v>
      </c>
      <c r="C26" s="3" t="s">
        <v>39</v>
      </c>
      <c r="D26" s="3" t="s">
        <v>10</v>
      </c>
      <c r="E26" s="3">
        <v>58.0</v>
      </c>
      <c r="F26" s="3" t="s">
        <v>22</v>
      </c>
      <c r="G26" s="3">
        <v>2.0</v>
      </c>
      <c r="H26" s="3">
        <v>1380.0</v>
      </c>
      <c r="I26" s="3">
        <v>2760.0</v>
      </c>
      <c r="J26" s="2"/>
      <c r="K26" s="2"/>
    </row>
    <row r="27">
      <c r="A27" s="3">
        <v>26.0</v>
      </c>
      <c r="B27" s="4">
        <v>45810.0</v>
      </c>
      <c r="C27" s="3" t="s">
        <v>40</v>
      </c>
      <c r="D27" s="3" t="s">
        <v>10</v>
      </c>
      <c r="E27" s="3">
        <v>41.0</v>
      </c>
      <c r="F27" s="3" t="s">
        <v>15</v>
      </c>
      <c r="G27" s="3">
        <v>2.0</v>
      </c>
      <c r="H27" s="3">
        <v>410.0</v>
      </c>
      <c r="I27" s="3">
        <v>820.0</v>
      </c>
      <c r="J27" s="2"/>
      <c r="K27" s="2"/>
    </row>
    <row r="28">
      <c r="A28" s="3">
        <v>27.0</v>
      </c>
      <c r="B28" s="4">
        <v>45740.0</v>
      </c>
      <c r="C28" s="3" t="s">
        <v>41</v>
      </c>
      <c r="D28" s="3" t="s">
        <v>17</v>
      </c>
      <c r="E28" s="3">
        <v>49.0</v>
      </c>
      <c r="F28" s="3" t="s">
        <v>15</v>
      </c>
      <c r="G28" s="3">
        <v>1.0</v>
      </c>
      <c r="H28" s="3">
        <v>360.0</v>
      </c>
      <c r="I28" s="3">
        <v>360.0</v>
      </c>
      <c r="J28" s="2"/>
      <c r="K28" s="2"/>
    </row>
    <row r="29">
      <c r="A29" s="3">
        <v>28.0</v>
      </c>
      <c r="B29" s="4">
        <v>45667.0</v>
      </c>
      <c r="C29" s="3" t="s">
        <v>42</v>
      </c>
      <c r="D29" s="3" t="s">
        <v>10</v>
      </c>
      <c r="E29" s="3">
        <v>21.0</v>
      </c>
      <c r="F29" s="3" t="s">
        <v>11</v>
      </c>
      <c r="G29" s="3">
        <v>3.0</v>
      </c>
      <c r="H29" s="3">
        <v>130.0</v>
      </c>
      <c r="I29" s="3">
        <v>390.0</v>
      </c>
      <c r="J29" s="2"/>
      <c r="K29" s="2"/>
    </row>
    <row r="30">
      <c r="A30" s="3">
        <v>29.0</v>
      </c>
      <c r="B30" s="4">
        <v>45781.0</v>
      </c>
      <c r="C30" s="3" t="s">
        <v>43</v>
      </c>
      <c r="D30" s="3" t="s">
        <v>17</v>
      </c>
      <c r="E30" s="3">
        <v>22.0</v>
      </c>
      <c r="F30" s="3" t="s">
        <v>15</v>
      </c>
      <c r="G30" s="3">
        <v>1.0</v>
      </c>
      <c r="H30" s="3">
        <v>75.0</v>
      </c>
      <c r="I30" s="3">
        <v>75.0</v>
      </c>
      <c r="J30" s="2"/>
      <c r="K30" s="2"/>
    </row>
    <row r="31">
      <c r="A31" s="3">
        <v>30.0</v>
      </c>
      <c r="B31" s="4">
        <v>45930.0</v>
      </c>
      <c r="C31" s="3" t="s">
        <v>44</v>
      </c>
      <c r="D31" s="3" t="s">
        <v>10</v>
      </c>
      <c r="E31" s="3">
        <v>34.0</v>
      </c>
      <c r="F31" s="3" t="s">
        <v>20</v>
      </c>
      <c r="G31" s="3">
        <v>4.0</v>
      </c>
      <c r="H31" s="3">
        <v>60.0</v>
      </c>
      <c r="I31" s="3">
        <v>240.0</v>
      </c>
      <c r="J31" s="2"/>
      <c r="K31" s="2"/>
    </row>
    <row r="32">
      <c r="A32" s="3">
        <v>31.0</v>
      </c>
      <c r="B32" s="4">
        <v>45928.0</v>
      </c>
      <c r="C32" s="3" t="s">
        <v>45</v>
      </c>
      <c r="D32" s="3" t="s">
        <v>10</v>
      </c>
      <c r="E32" s="3">
        <v>37.0</v>
      </c>
      <c r="F32" s="3" t="s">
        <v>15</v>
      </c>
      <c r="G32" s="3">
        <v>2.0</v>
      </c>
      <c r="H32" s="3">
        <v>295.0</v>
      </c>
      <c r="I32" s="3">
        <v>590.0</v>
      </c>
      <c r="J32" s="2"/>
      <c r="K32" s="2"/>
    </row>
    <row r="33">
      <c r="A33" s="3">
        <v>32.0</v>
      </c>
      <c r="B33" s="4">
        <v>45862.0</v>
      </c>
      <c r="C33" s="3" t="s">
        <v>46</v>
      </c>
      <c r="D33" s="3" t="s">
        <v>17</v>
      </c>
      <c r="E33" s="3">
        <v>25.0</v>
      </c>
      <c r="F33" s="3" t="s">
        <v>22</v>
      </c>
      <c r="G33" s="3">
        <v>5.0</v>
      </c>
      <c r="H33" s="3">
        <v>1220.0</v>
      </c>
      <c r="I33" s="3">
        <v>6100.0</v>
      </c>
      <c r="J33" s="2"/>
      <c r="K33" s="2"/>
    </row>
    <row r="34">
      <c r="A34" s="3">
        <v>33.0</v>
      </c>
      <c r="B34" s="4">
        <v>45784.0</v>
      </c>
      <c r="C34" s="3" t="s">
        <v>47</v>
      </c>
      <c r="D34" s="3" t="s">
        <v>10</v>
      </c>
      <c r="E34" s="3">
        <v>55.0</v>
      </c>
      <c r="F34" s="3" t="s">
        <v>20</v>
      </c>
      <c r="G34" s="3">
        <v>3.0</v>
      </c>
      <c r="H34" s="3">
        <v>40.0</v>
      </c>
      <c r="I34" s="3">
        <v>120.0</v>
      </c>
      <c r="J34" s="2"/>
      <c r="K34" s="2"/>
    </row>
    <row r="35">
      <c r="A35" s="3">
        <v>34.0</v>
      </c>
      <c r="B35" s="4">
        <v>45941.0</v>
      </c>
      <c r="C35" s="3" t="s">
        <v>48</v>
      </c>
      <c r="D35" s="3" t="s">
        <v>10</v>
      </c>
      <c r="E35" s="3">
        <v>58.0</v>
      </c>
      <c r="F35" s="3" t="s">
        <v>20</v>
      </c>
      <c r="G35" s="3">
        <v>1.0</v>
      </c>
      <c r="H35" s="3">
        <v>90.0</v>
      </c>
      <c r="I35" s="3">
        <v>90.0</v>
      </c>
      <c r="J35" s="2"/>
      <c r="K35" s="2"/>
    </row>
    <row r="36">
      <c r="A36" s="3">
        <v>35.0</v>
      </c>
      <c r="B36" s="4">
        <v>45688.0</v>
      </c>
      <c r="C36" s="3" t="s">
        <v>49</v>
      </c>
      <c r="D36" s="3" t="s">
        <v>17</v>
      </c>
      <c r="E36" s="3">
        <v>22.0</v>
      </c>
      <c r="F36" s="3" t="s">
        <v>20</v>
      </c>
      <c r="G36" s="3">
        <v>1.0</v>
      </c>
      <c r="H36" s="3">
        <v>40.0</v>
      </c>
      <c r="I36" s="3">
        <v>40.0</v>
      </c>
      <c r="J36" s="2"/>
      <c r="K36" s="2"/>
    </row>
    <row r="37">
      <c r="A37" s="3">
        <v>36.0</v>
      </c>
      <c r="B37" s="4">
        <v>45921.0</v>
      </c>
      <c r="C37" s="3" t="s">
        <v>50</v>
      </c>
      <c r="D37" s="3" t="s">
        <v>10</v>
      </c>
      <c r="E37" s="3">
        <v>52.0</v>
      </c>
      <c r="F37" s="3" t="s">
        <v>20</v>
      </c>
      <c r="G37" s="3">
        <v>4.0</v>
      </c>
      <c r="H37" s="3">
        <v>105.0</v>
      </c>
      <c r="I37" s="3">
        <v>420.0</v>
      </c>
      <c r="J37" s="2"/>
      <c r="K37" s="2"/>
    </row>
    <row r="38">
      <c r="A38" s="3">
        <v>37.0</v>
      </c>
      <c r="B38" s="4">
        <v>45725.0</v>
      </c>
      <c r="C38" s="3" t="s">
        <v>51</v>
      </c>
      <c r="D38" s="3" t="s">
        <v>10</v>
      </c>
      <c r="E38" s="3">
        <v>48.0</v>
      </c>
      <c r="F38" s="3" t="s">
        <v>15</v>
      </c>
      <c r="G38" s="3">
        <v>4.0</v>
      </c>
      <c r="H38" s="3">
        <v>390.0</v>
      </c>
      <c r="I38" s="3">
        <v>1560.0</v>
      </c>
      <c r="J38" s="2"/>
      <c r="K38" s="2"/>
    </row>
    <row r="39">
      <c r="A39" s="3">
        <v>38.0</v>
      </c>
      <c r="B39" s="4">
        <v>45866.0</v>
      </c>
      <c r="C39" s="3" t="s">
        <v>52</v>
      </c>
      <c r="D39" s="3" t="s">
        <v>17</v>
      </c>
      <c r="E39" s="3">
        <v>40.0</v>
      </c>
      <c r="F39" s="3" t="s">
        <v>20</v>
      </c>
      <c r="G39" s="3">
        <v>1.0</v>
      </c>
      <c r="H39" s="3">
        <v>50.0</v>
      </c>
      <c r="I39" s="3">
        <v>50.0</v>
      </c>
      <c r="J39" s="2"/>
      <c r="K39" s="2"/>
    </row>
    <row r="40">
      <c r="A40" s="3">
        <v>39.0</v>
      </c>
      <c r="B40" s="4">
        <v>45874.0</v>
      </c>
      <c r="C40" s="3" t="s">
        <v>53</v>
      </c>
      <c r="D40" s="3" t="s">
        <v>10</v>
      </c>
      <c r="E40" s="3">
        <v>21.0</v>
      </c>
      <c r="F40" s="3" t="s">
        <v>54</v>
      </c>
      <c r="G40" s="3">
        <v>1.0</v>
      </c>
      <c r="H40" s="3">
        <v>75.0</v>
      </c>
      <c r="I40" s="3">
        <v>75.0</v>
      </c>
      <c r="J40" s="2"/>
      <c r="K40" s="2"/>
    </row>
    <row r="41">
      <c r="A41" s="3">
        <v>40.0</v>
      </c>
      <c r="B41" s="4">
        <v>45864.0</v>
      </c>
      <c r="C41" s="3" t="s">
        <v>55</v>
      </c>
      <c r="D41" s="3" t="s">
        <v>10</v>
      </c>
      <c r="E41" s="3">
        <v>30.0</v>
      </c>
      <c r="F41" s="3" t="s">
        <v>22</v>
      </c>
      <c r="G41" s="3">
        <v>2.0</v>
      </c>
      <c r="H41" s="3">
        <v>375.0</v>
      </c>
      <c r="I41" s="3">
        <v>750.0</v>
      </c>
      <c r="J41" s="2"/>
      <c r="K41" s="2"/>
    </row>
    <row r="42">
      <c r="A42" s="3">
        <v>41.0</v>
      </c>
      <c r="B42" s="4">
        <v>45932.0</v>
      </c>
      <c r="C42" s="3" t="s">
        <v>56</v>
      </c>
      <c r="D42" s="3" t="s">
        <v>10</v>
      </c>
      <c r="E42" s="3">
        <v>35.0</v>
      </c>
      <c r="F42" s="3" t="s">
        <v>54</v>
      </c>
      <c r="G42" s="3">
        <v>4.0</v>
      </c>
      <c r="H42" s="3">
        <v>25.0</v>
      </c>
      <c r="I42" s="3">
        <v>100.0</v>
      </c>
      <c r="J42" s="2"/>
      <c r="K42" s="2"/>
    </row>
    <row r="43">
      <c r="A43" s="3">
        <v>42.0</v>
      </c>
      <c r="B43" s="4">
        <v>45894.0</v>
      </c>
      <c r="C43" s="3" t="s">
        <v>57</v>
      </c>
      <c r="D43" s="3" t="s">
        <v>10</v>
      </c>
      <c r="E43" s="3">
        <v>21.0</v>
      </c>
      <c r="F43" s="3" t="s">
        <v>20</v>
      </c>
      <c r="G43" s="3">
        <v>4.0</v>
      </c>
      <c r="H43" s="3">
        <v>40.0</v>
      </c>
      <c r="I43" s="3">
        <v>160.0</v>
      </c>
      <c r="J43" s="2"/>
      <c r="K43" s="2"/>
    </row>
    <row r="44">
      <c r="A44" s="3">
        <v>43.0</v>
      </c>
      <c r="B44" s="4">
        <v>45991.0</v>
      </c>
      <c r="C44" s="3" t="s">
        <v>58</v>
      </c>
      <c r="D44" s="3" t="s">
        <v>10</v>
      </c>
      <c r="E44" s="3">
        <v>28.0</v>
      </c>
      <c r="F44" s="3" t="s">
        <v>15</v>
      </c>
      <c r="G44" s="3">
        <v>1.0</v>
      </c>
      <c r="H44" s="3">
        <v>30.0</v>
      </c>
      <c r="I44" s="3">
        <v>30.0</v>
      </c>
      <c r="J44" s="2"/>
      <c r="K44" s="2"/>
    </row>
    <row r="45">
      <c r="A45" s="3">
        <v>44.0</v>
      </c>
      <c r="B45" s="4">
        <v>45866.0</v>
      </c>
      <c r="C45" s="3" t="s">
        <v>59</v>
      </c>
      <c r="D45" s="3" t="s">
        <v>17</v>
      </c>
      <c r="E45" s="3">
        <v>21.0</v>
      </c>
      <c r="F45" s="3" t="s">
        <v>54</v>
      </c>
      <c r="G45" s="3">
        <v>2.0</v>
      </c>
      <c r="H45" s="3">
        <v>80.0</v>
      </c>
      <c r="I45" s="3">
        <v>160.0</v>
      </c>
      <c r="J45" s="2"/>
      <c r="K45" s="2"/>
    </row>
    <row r="46">
      <c r="A46" s="3">
        <v>45.0</v>
      </c>
      <c r="B46" s="4">
        <v>45742.0</v>
      </c>
      <c r="C46" s="3" t="s">
        <v>60</v>
      </c>
      <c r="D46" s="3" t="s">
        <v>17</v>
      </c>
      <c r="E46" s="3">
        <v>47.0</v>
      </c>
      <c r="F46" s="3" t="s">
        <v>54</v>
      </c>
      <c r="G46" s="3">
        <v>4.0</v>
      </c>
      <c r="H46" s="3">
        <v>5.0</v>
      </c>
      <c r="I46" s="3">
        <v>20.0</v>
      </c>
      <c r="J46" s="2"/>
      <c r="K46" s="2"/>
    </row>
    <row r="47">
      <c r="A47" s="3">
        <v>46.0</v>
      </c>
      <c r="B47" s="4">
        <v>45804.0</v>
      </c>
      <c r="C47" s="3" t="s">
        <v>61</v>
      </c>
      <c r="D47" s="3" t="s">
        <v>17</v>
      </c>
      <c r="E47" s="3">
        <v>27.0</v>
      </c>
      <c r="F47" s="3" t="s">
        <v>54</v>
      </c>
      <c r="G47" s="3">
        <v>5.0</v>
      </c>
      <c r="H47" s="3">
        <v>115.0</v>
      </c>
      <c r="I47" s="3">
        <v>575.0</v>
      </c>
      <c r="J47" s="2"/>
      <c r="K47" s="2"/>
    </row>
    <row r="48">
      <c r="A48" s="3">
        <v>47.0</v>
      </c>
      <c r="B48" s="4">
        <v>45755.0</v>
      </c>
      <c r="C48" s="3" t="s">
        <v>62</v>
      </c>
      <c r="D48" s="3" t="s">
        <v>10</v>
      </c>
      <c r="E48" s="3">
        <v>38.0</v>
      </c>
      <c r="F48" s="3" t="s">
        <v>22</v>
      </c>
      <c r="G48" s="3">
        <v>1.0</v>
      </c>
      <c r="H48" s="3">
        <v>655.0</v>
      </c>
      <c r="I48" s="3">
        <v>655.0</v>
      </c>
      <c r="J48" s="2"/>
      <c r="K48" s="2"/>
    </row>
    <row r="49">
      <c r="A49" s="3">
        <v>48.0</v>
      </c>
      <c r="B49" s="4">
        <v>45687.0</v>
      </c>
      <c r="C49" s="3" t="s">
        <v>63</v>
      </c>
      <c r="D49" s="3" t="s">
        <v>10</v>
      </c>
      <c r="E49" s="3">
        <v>21.0</v>
      </c>
      <c r="F49" s="3" t="s">
        <v>11</v>
      </c>
      <c r="G49" s="3">
        <v>4.0</v>
      </c>
      <c r="H49" s="3">
        <v>200.0</v>
      </c>
      <c r="I49" s="3">
        <v>800.0</v>
      </c>
      <c r="J49" s="2"/>
      <c r="K49" s="2"/>
    </row>
    <row r="50">
      <c r="A50" s="3">
        <v>49.0</v>
      </c>
      <c r="B50" s="4">
        <v>45918.0</v>
      </c>
      <c r="C50" s="3" t="s">
        <v>64</v>
      </c>
      <c r="D50" s="3" t="s">
        <v>10</v>
      </c>
      <c r="E50" s="3">
        <v>33.0</v>
      </c>
      <c r="F50" s="3" t="s">
        <v>11</v>
      </c>
      <c r="G50" s="3">
        <v>1.0</v>
      </c>
      <c r="H50" s="3">
        <v>70.0</v>
      </c>
      <c r="I50" s="3">
        <v>70.0</v>
      </c>
      <c r="J50" s="2"/>
      <c r="K50" s="2"/>
    </row>
    <row r="51">
      <c r="A51" s="3">
        <v>50.0</v>
      </c>
      <c r="B51" s="4">
        <v>45864.0</v>
      </c>
      <c r="C51" s="3" t="s">
        <v>65</v>
      </c>
      <c r="D51" s="3" t="s">
        <v>10</v>
      </c>
      <c r="E51" s="3">
        <v>57.0</v>
      </c>
      <c r="F51" s="3" t="s">
        <v>11</v>
      </c>
      <c r="G51" s="3">
        <v>2.0</v>
      </c>
      <c r="H51" s="3">
        <v>195.0</v>
      </c>
      <c r="I51" s="3">
        <v>390.0</v>
      </c>
      <c r="J51" s="2"/>
      <c r="K51" s="2"/>
    </row>
    <row r="52">
      <c r="A52" s="3">
        <v>51.0</v>
      </c>
      <c r="B52" s="4">
        <v>45699.0</v>
      </c>
      <c r="C52" s="3" t="s">
        <v>66</v>
      </c>
      <c r="D52" s="3" t="s">
        <v>17</v>
      </c>
      <c r="E52" s="3">
        <v>34.0</v>
      </c>
      <c r="F52" s="3" t="s">
        <v>54</v>
      </c>
      <c r="G52" s="3">
        <v>5.0</v>
      </c>
      <c r="H52" s="3">
        <v>110.0</v>
      </c>
      <c r="I52" s="3">
        <v>550.0</v>
      </c>
      <c r="J52" s="2"/>
      <c r="K52" s="2"/>
    </row>
    <row r="53">
      <c r="A53" s="3">
        <v>52.0</v>
      </c>
      <c r="B53" s="4">
        <v>45762.0</v>
      </c>
      <c r="C53" s="3" t="s">
        <v>67</v>
      </c>
      <c r="D53" s="3" t="s">
        <v>17</v>
      </c>
      <c r="E53" s="3">
        <v>26.0</v>
      </c>
      <c r="F53" s="3" t="s">
        <v>22</v>
      </c>
      <c r="G53" s="3">
        <v>3.0</v>
      </c>
      <c r="H53" s="3">
        <v>710.0</v>
      </c>
      <c r="I53" s="3">
        <v>2130.0</v>
      </c>
      <c r="J53" s="2"/>
      <c r="K53" s="2"/>
    </row>
    <row r="54">
      <c r="A54" s="3">
        <v>53.0</v>
      </c>
      <c r="B54" s="4">
        <v>46001.0</v>
      </c>
      <c r="C54" s="3" t="s">
        <v>68</v>
      </c>
      <c r="D54" s="3" t="s">
        <v>10</v>
      </c>
      <c r="E54" s="3">
        <v>18.0</v>
      </c>
      <c r="F54" s="3" t="s">
        <v>22</v>
      </c>
      <c r="G54" s="3">
        <v>3.0</v>
      </c>
      <c r="H54" s="3">
        <v>1270.0</v>
      </c>
      <c r="I54" s="3">
        <v>3810.0</v>
      </c>
      <c r="J54" s="2"/>
      <c r="K54" s="2"/>
    </row>
    <row r="55">
      <c r="A55" s="3">
        <v>54.0</v>
      </c>
      <c r="B55" s="4">
        <v>45892.0</v>
      </c>
      <c r="C55" s="3" t="s">
        <v>69</v>
      </c>
      <c r="D55" s="3" t="s">
        <v>10</v>
      </c>
      <c r="E55" s="3">
        <v>52.0</v>
      </c>
      <c r="F55" s="3" t="s">
        <v>15</v>
      </c>
      <c r="G55" s="3">
        <v>1.0</v>
      </c>
      <c r="H55" s="3">
        <v>385.0</v>
      </c>
      <c r="I55" s="3">
        <v>385.0</v>
      </c>
      <c r="J55" s="2"/>
      <c r="K55" s="2"/>
    </row>
    <row r="56">
      <c r="A56" s="3">
        <v>55.0</v>
      </c>
      <c r="B56" s="4">
        <v>45767.0</v>
      </c>
      <c r="C56" s="3" t="s">
        <v>70</v>
      </c>
      <c r="D56" s="3" t="s">
        <v>17</v>
      </c>
      <c r="E56" s="3">
        <v>22.0</v>
      </c>
      <c r="F56" s="3" t="s">
        <v>15</v>
      </c>
      <c r="G56" s="3">
        <v>2.0</v>
      </c>
      <c r="H56" s="3">
        <v>190.0</v>
      </c>
      <c r="I56" s="3">
        <v>380.0</v>
      </c>
      <c r="J56" s="2"/>
      <c r="K56" s="2"/>
    </row>
    <row r="57">
      <c r="A57" s="3">
        <v>56.0</v>
      </c>
      <c r="B57" s="4">
        <v>45783.0</v>
      </c>
      <c r="C57" s="3" t="s">
        <v>71</v>
      </c>
      <c r="D57" s="3" t="s">
        <v>17</v>
      </c>
      <c r="E57" s="3">
        <v>52.0</v>
      </c>
      <c r="F57" s="3" t="s">
        <v>22</v>
      </c>
      <c r="G57" s="3">
        <v>2.0</v>
      </c>
      <c r="H57" s="3">
        <v>825.0</v>
      </c>
      <c r="I57" s="3">
        <v>1650.0</v>
      </c>
      <c r="J57" s="2"/>
      <c r="K57" s="2"/>
    </row>
    <row r="58">
      <c r="A58" s="3">
        <v>57.0</v>
      </c>
      <c r="B58" s="4">
        <v>46018.0</v>
      </c>
      <c r="C58" s="3" t="s">
        <v>72</v>
      </c>
      <c r="D58" s="3" t="s">
        <v>17</v>
      </c>
      <c r="E58" s="3">
        <v>60.0</v>
      </c>
      <c r="F58" s="3" t="s">
        <v>22</v>
      </c>
      <c r="G58" s="3">
        <v>1.0</v>
      </c>
      <c r="H58" s="3">
        <v>1450.0</v>
      </c>
      <c r="I58" s="3">
        <v>1450.0</v>
      </c>
      <c r="J58" s="2"/>
      <c r="K58" s="2"/>
    </row>
    <row r="59">
      <c r="A59" s="3">
        <v>58.0</v>
      </c>
      <c r="B59" s="4">
        <v>45711.0</v>
      </c>
      <c r="C59" s="3" t="s">
        <v>73</v>
      </c>
      <c r="D59" s="3" t="s">
        <v>10</v>
      </c>
      <c r="E59" s="3">
        <v>53.0</v>
      </c>
      <c r="F59" s="3" t="s">
        <v>20</v>
      </c>
      <c r="G59" s="3">
        <v>1.0</v>
      </c>
      <c r="H59" s="3">
        <v>100.0</v>
      </c>
      <c r="I59" s="3">
        <v>100.0</v>
      </c>
      <c r="J59" s="2"/>
      <c r="K59" s="2"/>
    </row>
    <row r="60">
      <c r="A60" s="3">
        <v>59.0</v>
      </c>
      <c r="B60" s="4">
        <v>45737.0</v>
      </c>
      <c r="C60" s="3" t="s">
        <v>74</v>
      </c>
      <c r="D60" s="3" t="s">
        <v>10</v>
      </c>
      <c r="E60" s="3">
        <v>39.0</v>
      </c>
      <c r="F60" s="3" t="s">
        <v>22</v>
      </c>
      <c r="G60" s="3">
        <v>5.0</v>
      </c>
      <c r="H60" s="3">
        <v>820.0</v>
      </c>
      <c r="I60" s="3">
        <v>4100.0</v>
      </c>
      <c r="J60" s="2"/>
      <c r="K60" s="2"/>
    </row>
    <row r="61">
      <c r="A61" s="3">
        <v>60.0</v>
      </c>
      <c r="B61" s="4">
        <v>45762.0</v>
      </c>
      <c r="C61" s="3" t="s">
        <v>75</v>
      </c>
      <c r="D61" s="3" t="s">
        <v>17</v>
      </c>
      <c r="E61" s="3">
        <v>21.0</v>
      </c>
      <c r="F61" s="3" t="s">
        <v>22</v>
      </c>
      <c r="G61" s="3">
        <v>4.0</v>
      </c>
      <c r="H61" s="3">
        <v>1390.0</v>
      </c>
      <c r="I61" s="3">
        <v>5560.0</v>
      </c>
      <c r="J61" s="2"/>
      <c r="K61" s="2"/>
    </row>
    <row r="62">
      <c r="A62" s="3">
        <v>61.0</v>
      </c>
      <c r="B62" s="4">
        <v>45705.0</v>
      </c>
      <c r="C62" s="3" t="s">
        <v>76</v>
      </c>
      <c r="D62" s="3" t="s">
        <v>10</v>
      </c>
      <c r="E62" s="3">
        <v>39.0</v>
      </c>
      <c r="F62" s="3" t="s">
        <v>54</v>
      </c>
      <c r="G62" s="3">
        <v>1.0</v>
      </c>
      <c r="H62" s="3">
        <v>45.0</v>
      </c>
      <c r="I62" s="3">
        <v>45.0</v>
      </c>
      <c r="J62" s="2"/>
      <c r="K62" s="2"/>
    </row>
    <row r="63">
      <c r="A63" s="3">
        <v>62.0</v>
      </c>
      <c r="B63" s="4">
        <v>45724.0</v>
      </c>
      <c r="C63" s="3" t="s">
        <v>77</v>
      </c>
      <c r="D63" s="3" t="s">
        <v>17</v>
      </c>
      <c r="E63" s="3">
        <v>53.0</v>
      </c>
      <c r="F63" s="3" t="s">
        <v>22</v>
      </c>
      <c r="G63" s="3">
        <v>4.0</v>
      </c>
      <c r="H63" s="3">
        <v>510.0</v>
      </c>
      <c r="I63" s="3">
        <v>2040.0</v>
      </c>
      <c r="J63" s="2"/>
      <c r="K63" s="2"/>
    </row>
    <row r="64">
      <c r="A64" s="3">
        <v>63.0</v>
      </c>
      <c r="B64" s="4">
        <v>45662.0</v>
      </c>
      <c r="C64" s="3" t="s">
        <v>78</v>
      </c>
      <c r="D64" s="3" t="s">
        <v>10</v>
      </c>
      <c r="E64" s="3">
        <v>41.0</v>
      </c>
      <c r="F64" s="3" t="s">
        <v>11</v>
      </c>
      <c r="G64" s="3">
        <v>2.0</v>
      </c>
      <c r="H64" s="3">
        <v>35.0</v>
      </c>
      <c r="I64" s="3">
        <v>70.0</v>
      </c>
      <c r="J64" s="2"/>
      <c r="K64" s="2"/>
    </row>
    <row r="65">
      <c r="A65" s="3">
        <v>64.0</v>
      </c>
      <c r="B65" s="4">
        <v>45956.0</v>
      </c>
      <c r="C65" s="3" t="s">
        <v>79</v>
      </c>
      <c r="D65" s="3" t="s">
        <v>10</v>
      </c>
      <c r="E65" s="3">
        <v>20.0</v>
      </c>
      <c r="F65" s="3" t="s">
        <v>15</v>
      </c>
      <c r="G65" s="3">
        <v>4.0</v>
      </c>
      <c r="H65" s="3">
        <v>115.0</v>
      </c>
      <c r="I65" s="3">
        <v>460.0</v>
      </c>
      <c r="J65" s="2"/>
      <c r="K65" s="2"/>
    </row>
    <row r="66">
      <c r="A66" s="3">
        <v>65.0</v>
      </c>
      <c r="B66" s="4">
        <v>45815.0</v>
      </c>
      <c r="C66" s="3" t="s">
        <v>80</v>
      </c>
      <c r="D66" s="3" t="s">
        <v>10</v>
      </c>
      <c r="E66" s="3">
        <v>33.0</v>
      </c>
      <c r="F66" s="3" t="s">
        <v>22</v>
      </c>
      <c r="G66" s="3">
        <v>3.0</v>
      </c>
      <c r="H66" s="3">
        <v>200.0</v>
      </c>
      <c r="I66" s="3">
        <v>600.0</v>
      </c>
      <c r="J66" s="2"/>
      <c r="K66" s="2"/>
    </row>
    <row r="67">
      <c r="A67" s="3">
        <v>66.0</v>
      </c>
      <c r="B67" s="4">
        <v>45999.0</v>
      </c>
      <c r="C67" s="3" t="s">
        <v>81</v>
      </c>
      <c r="D67" s="3" t="s">
        <v>17</v>
      </c>
      <c r="E67" s="3">
        <v>57.0</v>
      </c>
      <c r="F67" s="3" t="s">
        <v>11</v>
      </c>
      <c r="G67" s="3">
        <v>5.0</v>
      </c>
      <c r="H67" s="3">
        <v>125.0</v>
      </c>
      <c r="I67" s="3">
        <v>625.0</v>
      </c>
      <c r="J67" s="2"/>
      <c r="K67" s="2"/>
    </row>
    <row r="68">
      <c r="A68" s="3">
        <v>67.0</v>
      </c>
      <c r="B68" s="4">
        <v>45737.0</v>
      </c>
      <c r="C68" s="3" t="s">
        <v>82</v>
      </c>
      <c r="D68" s="3" t="s">
        <v>17</v>
      </c>
      <c r="E68" s="3">
        <v>19.0</v>
      </c>
      <c r="F68" s="3" t="s">
        <v>20</v>
      </c>
      <c r="G68" s="3">
        <v>2.0</v>
      </c>
      <c r="H68" s="3">
        <v>70.0</v>
      </c>
      <c r="I68" s="3">
        <v>140.0</v>
      </c>
      <c r="J68" s="2"/>
      <c r="K68" s="2"/>
    </row>
    <row r="69">
      <c r="A69" s="3">
        <v>68.0</v>
      </c>
      <c r="B69" s="4">
        <v>45749.0</v>
      </c>
      <c r="C69" s="3" t="s">
        <v>83</v>
      </c>
      <c r="D69" s="3" t="s">
        <v>17</v>
      </c>
      <c r="E69" s="3">
        <v>28.0</v>
      </c>
      <c r="F69" s="3" t="s">
        <v>22</v>
      </c>
      <c r="G69" s="3">
        <v>2.0</v>
      </c>
      <c r="H69" s="3">
        <v>1150.0</v>
      </c>
      <c r="I69" s="3">
        <v>2300.0</v>
      </c>
      <c r="J69" s="2"/>
      <c r="K69" s="2"/>
    </row>
    <row r="70">
      <c r="A70" s="3">
        <v>69.0</v>
      </c>
      <c r="B70" s="4">
        <v>46017.0</v>
      </c>
      <c r="C70" s="3" t="s">
        <v>84</v>
      </c>
      <c r="D70" s="3" t="s">
        <v>17</v>
      </c>
      <c r="E70" s="3">
        <v>32.0</v>
      </c>
      <c r="F70" s="3" t="s">
        <v>11</v>
      </c>
      <c r="G70" s="3">
        <v>1.0</v>
      </c>
      <c r="H70" s="3">
        <v>135.0</v>
      </c>
      <c r="I70" s="3">
        <v>135.0</v>
      </c>
      <c r="J70" s="2"/>
      <c r="K70" s="2"/>
    </row>
    <row r="71">
      <c r="A71" s="3">
        <v>70.0</v>
      </c>
      <c r="B71" s="4">
        <v>45760.0</v>
      </c>
      <c r="C71" s="3" t="s">
        <v>85</v>
      </c>
      <c r="D71" s="3" t="s">
        <v>10</v>
      </c>
      <c r="E71" s="3">
        <v>32.0</v>
      </c>
      <c r="F71" s="3" t="s">
        <v>54</v>
      </c>
      <c r="G71" s="3">
        <v>3.0</v>
      </c>
      <c r="H71" s="3">
        <v>60.0</v>
      </c>
      <c r="I71" s="3">
        <v>180.0</v>
      </c>
      <c r="J71" s="2"/>
      <c r="K71" s="2"/>
    </row>
    <row r="72">
      <c r="A72" s="3">
        <v>71.0</v>
      </c>
      <c r="B72" s="4">
        <v>45670.0</v>
      </c>
      <c r="C72" s="3" t="s">
        <v>86</v>
      </c>
      <c r="D72" s="3" t="s">
        <v>17</v>
      </c>
      <c r="E72" s="3">
        <v>22.0</v>
      </c>
      <c r="F72" s="3" t="s">
        <v>20</v>
      </c>
      <c r="G72" s="3">
        <v>3.0</v>
      </c>
      <c r="H72" s="3">
        <v>145.0</v>
      </c>
      <c r="I72" s="3">
        <v>435.0</v>
      </c>
      <c r="J72" s="2"/>
      <c r="K72" s="2"/>
    </row>
    <row r="73">
      <c r="A73" s="3">
        <v>72.0</v>
      </c>
      <c r="B73" s="4">
        <v>45800.0</v>
      </c>
      <c r="C73" s="3" t="s">
        <v>87</v>
      </c>
      <c r="D73" s="3" t="s">
        <v>17</v>
      </c>
      <c r="E73" s="3">
        <v>19.0</v>
      </c>
      <c r="F73" s="3" t="s">
        <v>22</v>
      </c>
      <c r="G73" s="3">
        <v>4.0</v>
      </c>
      <c r="H73" s="3">
        <v>1400.0</v>
      </c>
      <c r="I73" s="3">
        <v>5600.0</v>
      </c>
      <c r="J73" s="2"/>
      <c r="K73" s="2"/>
    </row>
    <row r="74">
      <c r="A74" s="3">
        <v>73.0</v>
      </c>
      <c r="B74" s="4">
        <v>45717.0</v>
      </c>
      <c r="C74" s="3" t="s">
        <v>88</v>
      </c>
      <c r="D74" s="3" t="s">
        <v>17</v>
      </c>
      <c r="E74" s="3">
        <v>20.0</v>
      </c>
      <c r="F74" s="3" t="s">
        <v>22</v>
      </c>
      <c r="G74" s="3">
        <v>5.0</v>
      </c>
      <c r="H74" s="3">
        <v>555.0</v>
      </c>
      <c r="I74" s="3">
        <v>2775.0</v>
      </c>
      <c r="J74" s="2"/>
      <c r="K74" s="2"/>
    </row>
    <row r="75">
      <c r="A75" s="3">
        <v>74.0</v>
      </c>
      <c r="B75" s="4">
        <v>45713.0</v>
      </c>
      <c r="C75" s="3" t="s">
        <v>89</v>
      </c>
      <c r="D75" s="3" t="s">
        <v>17</v>
      </c>
      <c r="E75" s="3">
        <v>45.0</v>
      </c>
      <c r="F75" s="3" t="s">
        <v>15</v>
      </c>
      <c r="G75" s="3">
        <v>3.0</v>
      </c>
      <c r="H75" s="3">
        <v>300.0</v>
      </c>
      <c r="I75" s="3">
        <v>900.0</v>
      </c>
      <c r="J75" s="2"/>
      <c r="K75" s="2"/>
    </row>
    <row r="76">
      <c r="A76" s="3">
        <v>75.0</v>
      </c>
      <c r="B76" s="4">
        <v>45968.0</v>
      </c>
      <c r="C76" s="3" t="s">
        <v>90</v>
      </c>
      <c r="D76" s="3" t="s">
        <v>10</v>
      </c>
      <c r="E76" s="3">
        <v>34.0</v>
      </c>
      <c r="F76" s="3" t="s">
        <v>15</v>
      </c>
      <c r="G76" s="3">
        <v>4.0</v>
      </c>
      <c r="H76" s="3">
        <v>95.0</v>
      </c>
      <c r="I76" s="3">
        <v>380.0</v>
      </c>
      <c r="J76" s="2"/>
      <c r="K76" s="2"/>
    </row>
    <row r="77">
      <c r="A77" s="3">
        <v>76.0</v>
      </c>
      <c r="B77" s="4">
        <v>45680.0</v>
      </c>
      <c r="C77" s="3" t="s">
        <v>91</v>
      </c>
      <c r="D77" s="3" t="s">
        <v>10</v>
      </c>
      <c r="E77" s="3">
        <v>41.0</v>
      </c>
      <c r="F77" s="3" t="s">
        <v>54</v>
      </c>
      <c r="G77" s="3">
        <v>5.0</v>
      </c>
      <c r="H77" s="3">
        <v>5.0</v>
      </c>
      <c r="I77" s="3">
        <v>25.0</v>
      </c>
      <c r="J77" s="2"/>
      <c r="K77" s="2"/>
    </row>
    <row r="78">
      <c r="A78" s="3">
        <v>77.0</v>
      </c>
      <c r="B78" s="4">
        <v>45878.0</v>
      </c>
      <c r="C78" s="3" t="s">
        <v>92</v>
      </c>
      <c r="D78" s="3" t="s">
        <v>17</v>
      </c>
      <c r="E78" s="3">
        <v>60.0</v>
      </c>
      <c r="F78" s="3" t="s">
        <v>11</v>
      </c>
      <c r="G78" s="3">
        <v>3.0</v>
      </c>
      <c r="H78" s="3">
        <v>225.0</v>
      </c>
      <c r="I78" s="3">
        <v>675.0</v>
      </c>
      <c r="J78" s="2"/>
      <c r="K78" s="2"/>
    </row>
    <row r="79">
      <c r="A79" s="3">
        <v>78.0</v>
      </c>
      <c r="B79" s="4">
        <v>45721.0</v>
      </c>
      <c r="C79" s="3" t="s">
        <v>93</v>
      </c>
      <c r="D79" s="3" t="s">
        <v>17</v>
      </c>
      <c r="E79" s="3">
        <v>38.0</v>
      </c>
      <c r="F79" s="3" t="s">
        <v>22</v>
      </c>
      <c r="G79" s="3">
        <v>3.0</v>
      </c>
      <c r="H79" s="3">
        <v>1395.0</v>
      </c>
      <c r="I79" s="3">
        <v>4185.0</v>
      </c>
      <c r="J79" s="2"/>
      <c r="K79" s="2"/>
    </row>
    <row r="80">
      <c r="A80" s="3">
        <v>79.0</v>
      </c>
      <c r="B80" s="4">
        <v>45864.0</v>
      </c>
      <c r="C80" s="3" t="s">
        <v>94</v>
      </c>
      <c r="D80" s="3" t="s">
        <v>17</v>
      </c>
      <c r="E80" s="3">
        <v>60.0</v>
      </c>
      <c r="F80" s="3" t="s">
        <v>22</v>
      </c>
      <c r="G80" s="3">
        <v>2.0</v>
      </c>
      <c r="H80" s="3">
        <v>425.0</v>
      </c>
      <c r="I80" s="3">
        <v>850.0</v>
      </c>
      <c r="J80" s="2"/>
      <c r="K80" s="2"/>
    </row>
    <row r="81">
      <c r="A81" s="3">
        <v>80.0</v>
      </c>
      <c r="B81" s="4">
        <v>45852.0</v>
      </c>
      <c r="C81" s="3" t="s">
        <v>95</v>
      </c>
      <c r="D81" s="3" t="s">
        <v>10</v>
      </c>
      <c r="E81" s="3">
        <v>37.0</v>
      </c>
      <c r="F81" s="3" t="s">
        <v>20</v>
      </c>
      <c r="G81" s="3">
        <v>4.0</v>
      </c>
      <c r="H81" s="3">
        <v>115.0</v>
      </c>
      <c r="I81" s="3">
        <v>460.0</v>
      </c>
      <c r="J81" s="2"/>
      <c r="K81" s="2"/>
    </row>
    <row r="82">
      <c r="A82" s="3">
        <v>81.0</v>
      </c>
      <c r="B82" s="4">
        <v>45804.0</v>
      </c>
      <c r="C82" s="3" t="s">
        <v>96</v>
      </c>
      <c r="D82" s="3" t="s">
        <v>17</v>
      </c>
      <c r="E82" s="3">
        <v>47.0</v>
      </c>
      <c r="F82" s="3" t="s">
        <v>20</v>
      </c>
      <c r="G82" s="3">
        <v>5.0</v>
      </c>
      <c r="H82" s="3">
        <v>155.0</v>
      </c>
      <c r="I82" s="3">
        <v>775.0</v>
      </c>
      <c r="J82" s="2"/>
      <c r="K82" s="2"/>
    </row>
    <row r="83">
      <c r="A83" s="3">
        <v>82.0</v>
      </c>
      <c r="B83" s="4">
        <v>45884.0</v>
      </c>
      <c r="C83" s="3" t="s">
        <v>97</v>
      </c>
      <c r="D83" s="3" t="s">
        <v>17</v>
      </c>
      <c r="E83" s="3">
        <v>28.0</v>
      </c>
      <c r="F83" s="3" t="s">
        <v>54</v>
      </c>
      <c r="G83" s="3">
        <v>2.0</v>
      </c>
      <c r="H83" s="3">
        <v>110.0</v>
      </c>
      <c r="I83" s="3">
        <v>220.0</v>
      </c>
      <c r="J83" s="2"/>
      <c r="K83" s="2"/>
    </row>
    <row r="84">
      <c r="A84" s="3">
        <v>83.0</v>
      </c>
      <c r="B84" s="4">
        <v>45995.0</v>
      </c>
      <c r="C84" s="3" t="s">
        <v>98</v>
      </c>
      <c r="D84" s="3" t="s">
        <v>17</v>
      </c>
      <c r="E84" s="3">
        <v>23.0</v>
      </c>
      <c r="F84" s="3" t="s">
        <v>11</v>
      </c>
      <c r="G84" s="3">
        <v>5.0</v>
      </c>
      <c r="H84" s="3">
        <v>105.0</v>
      </c>
      <c r="I84" s="3">
        <v>525.0</v>
      </c>
      <c r="J84" s="2"/>
      <c r="K84" s="2"/>
    </row>
    <row r="85">
      <c r="A85" s="3">
        <v>84.0</v>
      </c>
      <c r="B85" s="4">
        <v>45778.0</v>
      </c>
      <c r="C85" s="3" t="s">
        <v>99</v>
      </c>
      <c r="D85" s="3" t="s">
        <v>10</v>
      </c>
      <c r="E85" s="3">
        <v>19.0</v>
      </c>
      <c r="F85" s="3" t="s">
        <v>22</v>
      </c>
      <c r="G85" s="3">
        <v>2.0</v>
      </c>
      <c r="H85" s="3">
        <v>675.0</v>
      </c>
      <c r="I85" s="3">
        <v>1350.0</v>
      </c>
      <c r="J85" s="2"/>
      <c r="K85" s="2"/>
    </row>
    <row r="86">
      <c r="A86" s="3">
        <v>85.0</v>
      </c>
      <c r="B86" s="4">
        <v>45681.0</v>
      </c>
      <c r="C86" s="3" t="s">
        <v>100</v>
      </c>
      <c r="D86" s="3" t="s">
        <v>10</v>
      </c>
      <c r="E86" s="3">
        <v>47.0</v>
      </c>
      <c r="F86" s="3" t="s">
        <v>20</v>
      </c>
      <c r="G86" s="3">
        <v>5.0</v>
      </c>
      <c r="H86" s="3">
        <v>170.0</v>
      </c>
      <c r="I86" s="3">
        <v>850.0</v>
      </c>
      <c r="J86" s="2"/>
      <c r="K86" s="2"/>
    </row>
    <row r="87">
      <c r="A87" s="3">
        <v>86.0</v>
      </c>
      <c r="B87" s="4">
        <v>45870.0</v>
      </c>
      <c r="C87" s="3" t="s">
        <v>101</v>
      </c>
      <c r="D87" s="3" t="s">
        <v>17</v>
      </c>
      <c r="E87" s="3">
        <v>43.0</v>
      </c>
      <c r="F87" s="3" t="s">
        <v>15</v>
      </c>
      <c r="G87" s="3">
        <v>4.0</v>
      </c>
      <c r="H87" s="3">
        <v>145.0</v>
      </c>
      <c r="I87" s="3">
        <v>580.0</v>
      </c>
      <c r="J87" s="2"/>
      <c r="K87" s="2"/>
    </row>
    <row r="88">
      <c r="A88" s="3">
        <v>87.0</v>
      </c>
      <c r="B88" s="4">
        <v>45782.0</v>
      </c>
      <c r="C88" s="3" t="s">
        <v>102</v>
      </c>
      <c r="D88" s="3" t="s">
        <v>17</v>
      </c>
      <c r="E88" s="3">
        <v>32.0</v>
      </c>
      <c r="F88" s="3" t="s">
        <v>20</v>
      </c>
      <c r="G88" s="3">
        <v>1.0</v>
      </c>
      <c r="H88" s="3">
        <v>20.0</v>
      </c>
      <c r="I88" s="3">
        <v>20.0</v>
      </c>
      <c r="J88" s="2"/>
      <c r="K88" s="2"/>
    </row>
    <row r="89">
      <c r="A89" s="3">
        <v>88.0</v>
      </c>
      <c r="B89" s="4">
        <v>45748.0</v>
      </c>
      <c r="C89" s="3" t="s">
        <v>103</v>
      </c>
      <c r="D89" s="3" t="s">
        <v>10</v>
      </c>
      <c r="E89" s="3">
        <v>25.0</v>
      </c>
      <c r="F89" s="3" t="s">
        <v>15</v>
      </c>
      <c r="G89" s="3">
        <v>1.0</v>
      </c>
      <c r="H89" s="3">
        <v>320.0</v>
      </c>
      <c r="I89" s="3">
        <v>320.0</v>
      </c>
      <c r="J89" s="2"/>
      <c r="K89" s="2"/>
    </row>
    <row r="90">
      <c r="A90" s="3">
        <v>89.0</v>
      </c>
      <c r="B90" s="4">
        <v>45891.0</v>
      </c>
      <c r="C90" s="3" t="s">
        <v>104</v>
      </c>
      <c r="D90" s="3" t="s">
        <v>17</v>
      </c>
      <c r="E90" s="3">
        <v>46.0</v>
      </c>
      <c r="F90" s="3" t="s">
        <v>20</v>
      </c>
      <c r="G90" s="3">
        <v>5.0</v>
      </c>
      <c r="H90" s="3">
        <v>165.0</v>
      </c>
      <c r="I90" s="3">
        <v>825.0</v>
      </c>
      <c r="J90" s="2"/>
      <c r="K90" s="2"/>
    </row>
    <row r="91">
      <c r="A91" s="3">
        <v>90.0</v>
      </c>
      <c r="B91" s="4">
        <v>45971.0</v>
      </c>
      <c r="C91" s="3" t="s">
        <v>105</v>
      </c>
      <c r="D91" s="3" t="s">
        <v>17</v>
      </c>
      <c r="E91" s="3">
        <v>28.0</v>
      </c>
      <c r="F91" s="3" t="s">
        <v>15</v>
      </c>
      <c r="G91" s="3">
        <v>5.0</v>
      </c>
      <c r="H91" s="3">
        <v>295.0</v>
      </c>
      <c r="I91" s="3">
        <v>1475.0</v>
      </c>
      <c r="J91" s="2"/>
      <c r="K91" s="2"/>
    </row>
    <row r="92">
      <c r="A92" s="3">
        <v>91.0</v>
      </c>
      <c r="B92" s="4">
        <v>45901.0</v>
      </c>
      <c r="C92" s="3" t="s">
        <v>106</v>
      </c>
      <c r="D92" s="3" t="s">
        <v>17</v>
      </c>
      <c r="E92" s="3">
        <v>51.0</v>
      </c>
      <c r="F92" s="3" t="s">
        <v>54</v>
      </c>
      <c r="G92" s="3">
        <v>2.0</v>
      </c>
      <c r="H92" s="3">
        <v>45.0</v>
      </c>
      <c r="I92" s="3">
        <v>90.0</v>
      </c>
      <c r="J92" s="2"/>
      <c r="K92" s="2"/>
    </row>
    <row r="93">
      <c r="A93" s="3">
        <v>92.0</v>
      </c>
      <c r="B93" s="4">
        <v>45906.0</v>
      </c>
      <c r="C93" s="3" t="s">
        <v>107</v>
      </c>
      <c r="D93" s="3" t="s">
        <v>10</v>
      </c>
      <c r="E93" s="3">
        <v>36.0</v>
      </c>
      <c r="F93" s="3" t="s">
        <v>20</v>
      </c>
      <c r="G93" s="3">
        <v>4.0</v>
      </c>
      <c r="H93" s="3">
        <v>105.0</v>
      </c>
      <c r="I93" s="3">
        <v>420.0</v>
      </c>
      <c r="J93" s="2"/>
      <c r="K93" s="2"/>
    </row>
    <row r="94">
      <c r="A94" s="3">
        <v>93.0</v>
      </c>
      <c r="B94" s="4">
        <v>45778.0</v>
      </c>
      <c r="C94" s="3" t="s">
        <v>108</v>
      </c>
      <c r="D94" s="3" t="s">
        <v>10</v>
      </c>
      <c r="E94" s="3">
        <v>26.0</v>
      </c>
      <c r="F94" s="3" t="s">
        <v>22</v>
      </c>
      <c r="G94" s="3">
        <v>3.0</v>
      </c>
      <c r="H94" s="3">
        <v>955.0</v>
      </c>
      <c r="I94" s="3">
        <v>2865.0</v>
      </c>
      <c r="J94" s="2"/>
      <c r="K94" s="2"/>
    </row>
    <row r="95">
      <c r="A95" s="3">
        <v>94.0</v>
      </c>
      <c r="B95" s="4">
        <v>45735.0</v>
      </c>
      <c r="C95" s="3" t="s">
        <v>109</v>
      </c>
      <c r="D95" s="3" t="s">
        <v>10</v>
      </c>
      <c r="E95" s="3">
        <v>22.0</v>
      </c>
      <c r="F95" s="3" t="s">
        <v>20</v>
      </c>
      <c r="G95" s="3">
        <v>2.0</v>
      </c>
      <c r="H95" s="3">
        <v>140.0</v>
      </c>
      <c r="I95" s="3">
        <v>280.0</v>
      </c>
      <c r="J95" s="2"/>
      <c r="K95" s="2"/>
    </row>
    <row r="96">
      <c r="A96" s="3">
        <v>95.0</v>
      </c>
      <c r="B96" s="4">
        <v>45870.0</v>
      </c>
      <c r="C96" s="3" t="s">
        <v>110</v>
      </c>
      <c r="D96" s="3" t="s">
        <v>17</v>
      </c>
      <c r="E96" s="3">
        <v>44.0</v>
      </c>
      <c r="F96" s="3" t="s">
        <v>54</v>
      </c>
      <c r="G96" s="3">
        <v>5.0</v>
      </c>
      <c r="H96" s="3">
        <v>55.0</v>
      </c>
      <c r="I96" s="3">
        <v>275.0</v>
      </c>
      <c r="J96" s="2"/>
      <c r="K96" s="2"/>
    </row>
    <row r="97">
      <c r="A97" s="3">
        <v>96.0</v>
      </c>
      <c r="B97" s="4">
        <v>45689.0</v>
      </c>
      <c r="C97" s="3" t="s">
        <v>111</v>
      </c>
      <c r="D97" s="3" t="s">
        <v>10</v>
      </c>
      <c r="E97" s="3">
        <v>54.0</v>
      </c>
      <c r="F97" s="3" t="s">
        <v>20</v>
      </c>
      <c r="G97" s="3">
        <v>4.0</v>
      </c>
      <c r="H97" s="3">
        <v>150.0</v>
      </c>
      <c r="I97" s="3">
        <v>600.0</v>
      </c>
      <c r="J97" s="2"/>
      <c r="K97" s="2"/>
    </row>
    <row r="98">
      <c r="A98" s="3">
        <v>97.0</v>
      </c>
      <c r="B98" s="4">
        <v>45852.0</v>
      </c>
      <c r="C98" s="3" t="s">
        <v>112</v>
      </c>
      <c r="D98" s="3" t="s">
        <v>17</v>
      </c>
      <c r="E98" s="3">
        <v>42.0</v>
      </c>
      <c r="F98" s="3" t="s">
        <v>54</v>
      </c>
      <c r="G98" s="3">
        <v>3.0</v>
      </c>
      <c r="H98" s="3">
        <v>5.0</v>
      </c>
      <c r="I98" s="3">
        <v>15.0</v>
      </c>
      <c r="J98" s="2"/>
      <c r="K98" s="2"/>
    </row>
    <row r="99">
      <c r="A99" s="3">
        <v>98.0</v>
      </c>
      <c r="B99" s="4">
        <v>45872.0</v>
      </c>
      <c r="C99" s="3" t="s">
        <v>113</v>
      </c>
      <c r="D99" s="3" t="s">
        <v>10</v>
      </c>
      <c r="E99" s="3">
        <v>49.0</v>
      </c>
      <c r="F99" s="3" t="s">
        <v>15</v>
      </c>
      <c r="G99" s="3">
        <v>5.0</v>
      </c>
      <c r="H99" s="3">
        <v>500.0</v>
      </c>
      <c r="I99" s="3">
        <v>2500.0</v>
      </c>
      <c r="J99" s="2"/>
      <c r="K99" s="2"/>
    </row>
    <row r="100">
      <c r="A100" s="3">
        <v>99.0</v>
      </c>
      <c r="B100" s="4">
        <v>45770.0</v>
      </c>
      <c r="C100" s="3" t="s">
        <v>114</v>
      </c>
      <c r="D100" s="3" t="s">
        <v>10</v>
      </c>
      <c r="E100" s="3">
        <v>42.0</v>
      </c>
      <c r="F100" s="3" t="s">
        <v>22</v>
      </c>
      <c r="G100" s="3">
        <v>4.0</v>
      </c>
      <c r="H100" s="3">
        <v>1215.0</v>
      </c>
      <c r="I100" s="3">
        <v>4860.0</v>
      </c>
      <c r="J100" s="2"/>
      <c r="K100" s="2"/>
    </row>
    <row r="101">
      <c r="A101" s="3">
        <v>100.0</v>
      </c>
      <c r="B101" s="4">
        <v>45830.0</v>
      </c>
      <c r="C101" s="3" t="s">
        <v>115</v>
      </c>
      <c r="D101" s="3" t="s">
        <v>17</v>
      </c>
      <c r="E101" s="3">
        <v>26.0</v>
      </c>
      <c r="F101" s="3" t="s">
        <v>54</v>
      </c>
      <c r="G101" s="3">
        <v>2.0</v>
      </c>
      <c r="H101" s="3">
        <v>120.0</v>
      </c>
      <c r="I101" s="3">
        <v>240.0</v>
      </c>
      <c r="J101" s="2"/>
      <c r="K101" s="2"/>
    </row>
    <row r="102">
      <c r="A102" s="3">
        <v>101.0</v>
      </c>
      <c r="B102" s="4">
        <v>45976.0</v>
      </c>
      <c r="C102" s="3" t="s">
        <v>116</v>
      </c>
      <c r="D102" s="3" t="s">
        <v>10</v>
      </c>
      <c r="E102" s="3">
        <v>23.0</v>
      </c>
      <c r="F102" s="3" t="s">
        <v>15</v>
      </c>
      <c r="G102" s="3">
        <v>4.0</v>
      </c>
      <c r="H102" s="3">
        <v>40.0</v>
      </c>
      <c r="I102" s="3">
        <v>160.0</v>
      </c>
      <c r="J102" s="2"/>
      <c r="K102" s="2"/>
    </row>
    <row r="103">
      <c r="A103" s="3">
        <v>102.0</v>
      </c>
      <c r="B103" s="4">
        <v>45987.0</v>
      </c>
      <c r="C103" s="3" t="s">
        <v>117</v>
      </c>
      <c r="D103" s="3" t="s">
        <v>10</v>
      </c>
      <c r="E103" s="3">
        <v>21.0</v>
      </c>
      <c r="F103" s="3" t="s">
        <v>54</v>
      </c>
      <c r="G103" s="3">
        <v>4.0</v>
      </c>
      <c r="H103" s="3">
        <v>25.0</v>
      </c>
      <c r="I103" s="3">
        <v>100.0</v>
      </c>
      <c r="J103" s="2"/>
      <c r="K103" s="2"/>
    </row>
    <row r="104">
      <c r="A104" s="3">
        <v>103.0</v>
      </c>
      <c r="B104" s="4">
        <v>45791.0</v>
      </c>
      <c r="C104" s="3" t="s">
        <v>118</v>
      </c>
      <c r="D104" s="3" t="s">
        <v>17</v>
      </c>
      <c r="E104" s="3">
        <v>38.0</v>
      </c>
      <c r="F104" s="3" t="s">
        <v>54</v>
      </c>
      <c r="G104" s="3">
        <v>2.0</v>
      </c>
      <c r="H104" s="3">
        <v>55.0</v>
      </c>
      <c r="I104" s="3">
        <v>110.0</v>
      </c>
      <c r="J104" s="2"/>
      <c r="K104" s="2"/>
    </row>
    <row r="105">
      <c r="A105" s="3">
        <v>104.0</v>
      </c>
      <c r="B105" s="4">
        <v>45830.0</v>
      </c>
      <c r="C105" s="3" t="s">
        <v>119</v>
      </c>
      <c r="D105" s="3" t="s">
        <v>17</v>
      </c>
      <c r="E105" s="3">
        <v>23.0</v>
      </c>
      <c r="F105" s="3" t="s">
        <v>54</v>
      </c>
      <c r="G105" s="3">
        <v>4.0</v>
      </c>
      <c r="H105" s="3">
        <v>45.0</v>
      </c>
      <c r="I105" s="3">
        <v>180.0</v>
      </c>
      <c r="J105" s="2"/>
      <c r="K105" s="2"/>
    </row>
    <row r="106">
      <c r="A106" s="3">
        <v>105.0</v>
      </c>
      <c r="B106" s="4">
        <v>45898.0</v>
      </c>
      <c r="C106" s="3" t="s">
        <v>120</v>
      </c>
      <c r="D106" s="3" t="s">
        <v>10</v>
      </c>
      <c r="E106" s="3">
        <v>40.0</v>
      </c>
      <c r="F106" s="3" t="s">
        <v>11</v>
      </c>
      <c r="G106" s="3">
        <v>5.0</v>
      </c>
      <c r="H106" s="3">
        <v>250.0</v>
      </c>
      <c r="I106" s="3">
        <v>1250.0</v>
      </c>
      <c r="J106" s="2"/>
      <c r="K106" s="2"/>
    </row>
    <row r="107">
      <c r="A107" s="3">
        <v>106.0</v>
      </c>
      <c r="B107" s="4">
        <v>45772.0</v>
      </c>
      <c r="C107" s="3" t="s">
        <v>122</v>
      </c>
      <c r="D107" s="3" t="s">
        <v>10</v>
      </c>
      <c r="E107" s="3">
        <v>33.0</v>
      </c>
      <c r="F107" s="3" t="s">
        <v>11</v>
      </c>
      <c r="G107" s="3">
        <v>1.0</v>
      </c>
      <c r="H107" s="3">
        <v>220.0</v>
      </c>
      <c r="I107" s="3">
        <v>220.0</v>
      </c>
      <c r="J107" s="2"/>
      <c r="K107" s="2"/>
    </row>
    <row r="108">
      <c r="A108" s="3">
        <v>107.0</v>
      </c>
      <c r="B108" s="4">
        <v>45760.0</v>
      </c>
      <c r="C108" s="3" t="s">
        <v>123</v>
      </c>
      <c r="D108" s="3" t="s">
        <v>10</v>
      </c>
      <c r="E108" s="3">
        <v>26.0</v>
      </c>
      <c r="F108" s="3" t="s">
        <v>11</v>
      </c>
      <c r="G108" s="3">
        <v>2.0</v>
      </c>
      <c r="H108" s="3">
        <v>210.0</v>
      </c>
      <c r="I108" s="3">
        <v>420.0</v>
      </c>
      <c r="J108" s="2"/>
      <c r="K108" s="2"/>
    </row>
    <row r="109">
      <c r="A109" s="3">
        <v>108.0</v>
      </c>
      <c r="B109" s="4">
        <v>45900.0</v>
      </c>
      <c r="C109" s="3" t="s">
        <v>124</v>
      </c>
      <c r="D109" s="3" t="s">
        <v>17</v>
      </c>
      <c r="E109" s="3">
        <v>34.0</v>
      </c>
      <c r="F109" s="3" t="s">
        <v>11</v>
      </c>
      <c r="G109" s="3">
        <v>2.0</v>
      </c>
      <c r="H109" s="3">
        <v>195.0</v>
      </c>
      <c r="I109" s="3">
        <v>390.0</v>
      </c>
      <c r="J109" s="2"/>
      <c r="K109" s="2"/>
    </row>
    <row r="110">
      <c r="A110" s="3">
        <v>109.0</v>
      </c>
      <c r="B110" s="4">
        <v>45846.0</v>
      </c>
      <c r="C110" s="3" t="s">
        <v>126</v>
      </c>
      <c r="D110" s="3" t="s">
        <v>17</v>
      </c>
      <c r="E110" s="3">
        <v>24.0</v>
      </c>
      <c r="F110" s="3" t="s">
        <v>20</v>
      </c>
      <c r="G110" s="3">
        <v>2.0</v>
      </c>
      <c r="H110" s="3">
        <v>55.0</v>
      </c>
      <c r="I110" s="3">
        <v>110.0</v>
      </c>
      <c r="J110" s="2"/>
      <c r="K110" s="2"/>
    </row>
    <row r="111">
      <c r="A111" s="3">
        <v>110.0</v>
      </c>
      <c r="B111" s="4">
        <v>45954.0</v>
      </c>
      <c r="C111" s="3" t="s">
        <v>127</v>
      </c>
      <c r="D111" s="3" t="s">
        <v>17</v>
      </c>
      <c r="E111" s="3">
        <v>43.0</v>
      </c>
      <c r="F111" s="3" t="s">
        <v>11</v>
      </c>
      <c r="G111" s="3">
        <v>5.0</v>
      </c>
      <c r="H111" s="3">
        <v>110.0</v>
      </c>
      <c r="I111" s="3">
        <v>550.0</v>
      </c>
      <c r="J111" s="2"/>
      <c r="K111" s="2"/>
    </row>
    <row r="112">
      <c r="A112" s="3">
        <v>111.0</v>
      </c>
      <c r="B112" s="4">
        <v>45759.0</v>
      </c>
      <c r="C112" s="3" t="s">
        <v>128</v>
      </c>
      <c r="D112" s="3" t="s">
        <v>10</v>
      </c>
      <c r="E112" s="3">
        <v>37.0</v>
      </c>
      <c r="F112" s="3" t="s">
        <v>11</v>
      </c>
      <c r="G112" s="3">
        <v>2.0</v>
      </c>
      <c r="H112" s="3">
        <v>200.0</v>
      </c>
      <c r="I112" s="3">
        <v>400.0</v>
      </c>
      <c r="J112" s="2"/>
      <c r="K112" s="2"/>
    </row>
    <row r="113">
      <c r="A113" s="3">
        <v>112.0</v>
      </c>
      <c r="B113" s="4">
        <v>46008.0</v>
      </c>
      <c r="C113" s="3" t="s">
        <v>129</v>
      </c>
      <c r="D113" s="3" t="s">
        <v>10</v>
      </c>
      <c r="E113" s="3">
        <v>40.0</v>
      </c>
      <c r="F113" s="3" t="s">
        <v>15</v>
      </c>
      <c r="G113" s="3">
        <v>5.0</v>
      </c>
      <c r="H113" s="3">
        <v>100.0</v>
      </c>
      <c r="I113" s="3">
        <v>500.0</v>
      </c>
      <c r="J113" s="2"/>
      <c r="K113" s="2"/>
    </row>
    <row r="114">
      <c r="A114" s="3">
        <v>113.0</v>
      </c>
      <c r="B114" s="4">
        <v>45930.0</v>
      </c>
      <c r="C114" s="3" t="s">
        <v>130</v>
      </c>
      <c r="D114" s="3" t="s">
        <v>10</v>
      </c>
      <c r="E114" s="3">
        <v>50.0</v>
      </c>
      <c r="F114" s="3" t="s">
        <v>54</v>
      </c>
      <c r="G114" s="3">
        <v>3.0</v>
      </c>
      <c r="H114" s="3">
        <v>110.0</v>
      </c>
      <c r="I114" s="3">
        <v>330.0</v>
      </c>
      <c r="J114" s="2"/>
      <c r="K114" s="2"/>
    </row>
    <row r="115">
      <c r="A115" s="3">
        <v>114.0</v>
      </c>
      <c r="B115" s="4">
        <v>45989.0</v>
      </c>
      <c r="C115" s="3" t="s">
        <v>131</v>
      </c>
      <c r="D115" s="3" t="s">
        <v>17</v>
      </c>
      <c r="E115" s="3">
        <v>24.0</v>
      </c>
      <c r="F115" s="3" t="s">
        <v>22</v>
      </c>
      <c r="G115" s="3">
        <v>4.0</v>
      </c>
      <c r="H115" s="3">
        <v>130.0</v>
      </c>
      <c r="I115" s="3">
        <v>520.0</v>
      </c>
      <c r="J115" s="2"/>
      <c r="K115" s="2"/>
    </row>
    <row r="116">
      <c r="A116" s="3">
        <v>115.0</v>
      </c>
      <c r="B116" s="4">
        <v>45879.0</v>
      </c>
      <c r="C116" s="3" t="s">
        <v>132</v>
      </c>
      <c r="D116" s="3" t="s">
        <v>17</v>
      </c>
      <c r="E116" s="3">
        <v>29.0</v>
      </c>
      <c r="F116" s="3" t="s">
        <v>22</v>
      </c>
      <c r="G116" s="3">
        <v>2.0</v>
      </c>
      <c r="H116" s="3">
        <v>1275.0</v>
      </c>
      <c r="I116" s="3">
        <v>2550.0</v>
      </c>
      <c r="J116" s="2"/>
      <c r="K116" s="2"/>
    </row>
    <row r="117">
      <c r="A117" s="3">
        <v>116.0</v>
      </c>
      <c r="B117" s="4">
        <v>45925.0</v>
      </c>
      <c r="C117" s="3" t="s">
        <v>133</v>
      </c>
      <c r="D117" s="3" t="s">
        <v>17</v>
      </c>
      <c r="E117" s="3">
        <v>45.0</v>
      </c>
      <c r="F117" s="3" t="s">
        <v>22</v>
      </c>
      <c r="G117" s="3">
        <v>4.0</v>
      </c>
      <c r="H117" s="3">
        <v>1475.0</v>
      </c>
      <c r="I117" s="3">
        <v>5900.0</v>
      </c>
      <c r="J117" s="2"/>
      <c r="K117" s="2"/>
    </row>
    <row r="118">
      <c r="A118" s="3">
        <v>117.0</v>
      </c>
      <c r="B118" s="4">
        <v>45961.0</v>
      </c>
      <c r="C118" s="3" t="s">
        <v>134</v>
      </c>
      <c r="D118" s="3" t="s">
        <v>10</v>
      </c>
      <c r="E118" s="3">
        <v>35.0</v>
      </c>
      <c r="F118" s="3" t="s">
        <v>22</v>
      </c>
      <c r="G118" s="3">
        <v>2.0</v>
      </c>
      <c r="H118" s="3">
        <v>925.0</v>
      </c>
      <c r="I118" s="3">
        <v>1850.0</v>
      </c>
      <c r="J118" s="2"/>
      <c r="K118" s="2"/>
    </row>
    <row r="119">
      <c r="A119" s="3">
        <v>118.0</v>
      </c>
      <c r="B119" s="4">
        <v>45888.0</v>
      </c>
      <c r="C119" s="3" t="s">
        <v>135</v>
      </c>
      <c r="D119" s="3" t="s">
        <v>17</v>
      </c>
      <c r="E119" s="3">
        <v>39.0</v>
      </c>
      <c r="F119" s="3" t="s">
        <v>20</v>
      </c>
      <c r="G119" s="3">
        <v>5.0</v>
      </c>
      <c r="H119" s="3">
        <v>165.0</v>
      </c>
      <c r="I119" s="3">
        <v>825.0</v>
      </c>
      <c r="J119" s="2"/>
      <c r="K119" s="2"/>
    </row>
    <row r="120">
      <c r="A120" s="3">
        <v>119.0</v>
      </c>
      <c r="B120" s="4">
        <v>45672.0</v>
      </c>
      <c r="C120" s="3" t="s">
        <v>136</v>
      </c>
      <c r="D120" s="3" t="s">
        <v>17</v>
      </c>
      <c r="E120" s="3">
        <v>31.0</v>
      </c>
      <c r="F120" s="3" t="s">
        <v>54</v>
      </c>
      <c r="G120" s="3">
        <v>2.0</v>
      </c>
      <c r="H120" s="3">
        <v>55.0</v>
      </c>
      <c r="I120" s="3">
        <v>110.0</v>
      </c>
      <c r="J120" s="2"/>
      <c r="K120" s="2"/>
    </row>
    <row r="121">
      <c r="A121" s="3">
        <v>120.0</v>
      </c>
      <c r="B121" s="4">
        <v>45839.0</v>
      </c>
      <c r="C121" s="3" t="s">
        <v>137</v>
      </c>
      <c r="D121" s="3" t="s">
        <v>17</v>
      </c>
      <c r="E121" s="3">
        <v>53.0</v>
      </c>
      <c r="F121" s="3" t="s">
        <v>22</v>
      </c>
      <c r="G121" s="3">
        <v>3.0</v>
      </c>
      <c r="H121" s="3">
        <v>970.0</v>
      </c>
      <c r="I121" s="3">
        <v>2910.0</v>
      </c>
      <c r="J121" s="2"/>
      <c r="K121" s="2"/>
    </row>
    <row r="122">
      <c r="A122" s="3">
        <v>121.0</v>
      </c>
      <c r="B122" s="4">
        <v>45663.0</v>
      </c>
      <c r="C122" s="3" t="s">
        <v>138</v>
      </c>
      <c r="D122" s="3" t="s">
        <v>10</v>
      </c>
      <c r="E122" s="3">
        <v>44.0</v>
      </c>
      <c r="F122" s="3" t="s">
        <v>15</v>
      </c>
      <c r="G122" s="3">
        <v>1.0</v>
      </c>
      <c r="H122" s="3">
        <v>145.0</v>
      </c>
      <c r="I122" s="3">
        <v>145.0</v>
      </c>
      <c r="J122" s="2"/>
      <c r="K122" s="2"/>
    </row>
    <row r="123">
      <c r="A123" s="3">
        <v>122.0</v>
      </c>
      <c r="B123" s="4">
        <v>45908.0</v>
      </c>
      <c r="C123" s="3" t="s">
        <v>139</v>
      </c>
      <c r="D123" s="3" t="s">
        <v>17</v>
      </c>
      <c r="E123" s="3">
        <v>46.0</v>
      </c>
      <c r="F123" s="3" t="s">
        <v>15</v>
      </c>
      <c r="G123" s="3">
        <v>4.0</v>
      </c>
      <c r="H123" s="3">
        <v>175.0</v>
      </c>
      <c r="I123" s="3">
        <v>700.0</v>
      </c>
      <c r="J123" s="2"/>
      <c r="K123" s="2"/>
    </row>
    <row r="124">
      <c r="A124" s="3">
        <v>123.0</v>
      </c>
      <c r="B124" s="4">
        <v>45666.0</v>
      </c>
      <c r="C124" s="3" t="s">
        <v>140</v>
      </c>
      <c r="D124" s="3" t="s">
        <v>17</v>
      </c>
      <c r="E124" s="3">
        <v>33.0</v>
      </c>
      <c r="F124" s="3" t="s">
        <v>11</v>
      </c>
      <c r="G124" s="3">
        <v>2.0</v>
      </c>
      <c r="H124" s="3">
        <v>105.0</v>
      </c>
      <c r="I124" s="3">
        <v>210.0</v>
      </c>
      <c r="J124" s="2"/>
      <c r="K124" s="2"/>
    </row>
    <row r="125">
      <c r="A125" s="3">
        <v>124.0</v>
      </c>
      <c r="B125" s="4">
        <v>45814.0</v>
      </c>
      <c r="C125" s="3" t="s">
        <v>141</v>
      </c>
      <c r="D125" s="3" t="s">
        <v>17</v>
      </c>
      <c r="E125" s="3">
        <v>45.0</v>
      </c>
      <c r="F125" s="3" t="s">
        <v>15</v>
      </c>
      <c r="G125" s="3">
        <v>4.0</v>
      </c>
      <c r="H125" s="3">
        <v>260.0</v>
      </c>
      <c r="I125" s="3">
        <v>1040.0</v>
      </c>
      <c r="J125" s="2"/>
      <c r="K125" s="2"/>
    </row>
    <row r="126">
      <c r="A126" s="3">
        <v>125.0</v>
      </c>
      <c r="B126" s="4">
        <v>45939.0</v>
      </c>
      <c r="C126" s="3" t="s">
        <v>142</v>
      </c>
      <c r="D126" s="3" t="s">
        <v>17</v>
      </c>
      <c r="E126" s="3">
        <v>37.0</v>
      </c>
      <c r="F126" s="3" t="s">
        <v>22</v>
      </c>
      <c r="G126" s="3">
        <v>4.0</v>
      </c>
      <c r="H126" s="3">
        <v>1000.0</v>
      </c>
      <c r="I126" s="3">
        <v>4000.0</v>
      </c>
      <c r="J126" s="2"/>
      <c r="K126" s="2"/>
    </row>
    <row r="127">
      <c r="A127" s="3">
        <v>126.0</v>
      </c>
      <c r="B127" s="4">
        <v>45786.0</v>
      </c>
      <c r="C127" s="3" t="s">
        <v>143</v>
      </c>
      <c r="D127" s="3" t="s">
        <v>17</v>
      </c>
      <c r="E127" s="3">
        <v>25.0</v>
      </c>
      <c r="F127" s="3" t="s">
        <v>20</v>
      </c>
      <c r="G127" s="3">
        <v>2.0</v>
      </c>
      <c r="H127" s="3">
        <v>55.0</v>
      </c>
      <c r="I127" s="3">
        <v>110.0</v>
      </c>
      <c r="J127" s="2"/>
      <c r="K127" s="2"/>
    </row>
    <row r="128">
      <c r="A128" s="3">
        <v>127.0</v>
      </c>
      <c r="B128" s="4">
        <v>45932.0</v>
      </c>
      <c r="C128" s="3" t="s">
        <v>144</v>
      </c>
      <c r="D128" s="3" t="s">
        <v>17</v>
      </c>
      <c r="E128" s="3">
        <v>35.0</v>
      </c>
      <c r="F128" s="3" t="s">
        <v>20</v>
      </c>
      <c r="G128" s="3">
        <v>2.0</v>
      </c>
      <c r="H128" s="3">
        <v>80.0</v>
      </c>
      <c r="I128" s="3">
        <v>160.0</v>
      </c>
      <c r="J128" s="2"/>
      <c r="K128" s="2"/>
    </row>
    <row r="129">
      <c r="A129" s="3">
        <v>128.0</v>
      </c>
      <c r="B129" s="4">
        <v>45959.0</v>
      </c>
      <c r="C129" s="3" t="s">
        <v>145</v>
      </c>
      <c r="D129" s="3" t="s">
        <v>10</v>
      </c>
      <c r="E129" s="3">
        <v>30.0</v>
      </c>
      <c r="F129" s="3" t="s">
        <v>15</v>
      </c>
      <c r="G129" s="3">
        <v>3.0</v>
      </c>
      <c r="H129" s="3">
        <v>405.0</v>
      </c>
      <c r="I129" s="3">
        <v>1215.0</v>
      </c>
      <c r="J129" s="2"/>
      <c r="K129" s="2"/>
    </row>
    <row r="130">
      <c r="A130" s="3">
        <v>129.0</v>
      </c>
      <c r="B130" s="4">
        <v>45809.0</v>
      </c>
      <c r="C130" s="3" t="s">
        <v>146</v>
      </c>
      <c r="D130" s="3" t="s">
        <v>17</v>
      </c>
      <c r="E130" s="3">
        <v>18.0</v>
      </c>
      <c r="F130" s="3" t="s">
        <v>20</v>
      </c>
      <c r="G130" s="3">
        <v>2.0</v>
      </c>
      <c r="H130" s="3">
        <v>135.0</v>
      </c>
      <c r="I130" s="3">
        <v>270.0</v>
      </c>
      <c r="J130" s="2"/>
      <c r="K130" s="2"/>
    </row>
    <row r="131">
      <c r="A131" s="3">
        <v>130.0</v>
      </c>
      <c r="B131" s="4">
        <v>46020.0</v>
      </c>
      <c r="C131" s="3" t="s">
        <v>147</v>
      </c>
      <c r="D131" s="3" t="s">
        <v>10</v>
      </c>
      <c r="E131" s="3">
        <v>21.0</v>
      </c>
      <c r="F131" s="3" t="s">
        <v>15</v>
      </c>
      <c r="G131" s="3">
        <v>3.0</v>
      </c>
      <c r="H131" s="3">
        <v>105.0</v>
      </c>
      <c r="I131" s="3">
        <v>315.0</v>
      </c>
      <c r="J131" s="2"/>
      <c r="K131" s="2"/>
    </row>
    <row r="132">
      <c r="A132" s="3">
        <v>131.0</v>
      </c>
      <c r="B132" s="4">
        <v>45941.0</v>
      </c>
      <c r="C132" s="3" t="s">
        <v>148</v>
      </c>
      <c r="D132" s="3" t="s">
        <v>10</v>
      </c>
      <c r="E132" s="3">
        <v>18.0</v>
      </c>
      <c r="F132" s="3" t="s">
        <v>22</v>
      </c>
      <c r="G132" s="3">
        <v>4.0</v>
      </c>
      <c r="H132" s="3">
        <v>420.0</v>
      </c>
      <c r="I132" s="3">
        <v>1680.0</v>
      </c>
      <c r="J132" s="2"/>
      <c r="K132" s="2"/>
    </row>
    <row r="133">
      <c r="A133" s="3">
        <v>132.0</v>
      </c>
      <c r="B133" s="4">
        <v>45951.0</v>
      </c>
      <c r="C133" s="3" t="s">
        <v>149</v>
      </c>
      <c r="D133" s="3" t="s">
        <v>17</v>
      </c>
      <c r="E133" s="3">
        <v>39.0</v>
      </c>
      <c r="F133" s="3" t="s">
        <v>22</v>
      </c>
      <c r="G133" s="3">
        <v>4.0</v>
      </c>
      <c r="H133" s="3">
        <v>1300.0</v>
      </c>
      <c r="I133" s="3">
        <v>5200.0</v>
      </c>
      <c r="J133" s="2"/>
      <c r="K133" s="2"/>
    </row>
    <row r="134">
      <c r="A134" s="3">
        <v>133.0</v>
      </c>
      <c r="B134" s="4">
        <v>45752.0</v>
      </c>
      <c r="C134" s="3" t="s">
        <v>150</v>
      </c>
      <c r="D134" s="3" t="s">
        <v>10</v>
      </c>
      <c r="E134" s="3">
        <v>22.0</v>
      </c>
      <c r="F134" s="3" t="s">
        <v>11</v>
      </c>
      <c r="G134" s="3">
        <v>4.0</v>
      </c>
      <c r="H134" s="3">
        <v>95.0</v>
      </c>
      <c r="I134" s="3">
        <v>380.0</v>
      </c>
      <c r="J134" s="2"/>
      <c r="K134" s="2"/>
    </row>
    <row r="135">
      <c r="A135" s="3">
        <v>134.0</v>
      </c>
      <c r="B135" s="4">
        <v>45863.0</v>
      </c>
      <c r="C135" s="3" t="s">
        <v>152</v>
      </c>
      <c r="D135" s="3" t="s">
        <v>10</v>
      </c>
      <c r="E135" s="3">
        <v>27.0</v>
      </c>
      <c r="F135" s="3" t="s">
        <v>54</v>
      </c>
      <c r="G135" s="3">
        <v>5.0</v>
      </c>
      <c r="H135" s="3">
        <v>15.0</v>
      </c>
      <c r="I135" s="3">
        <v>75.0</v>
      </c>
      <c r="J135" s="2"/>
      <c r="K135" s="2"/>
    </row>
    <row r="136">
      <c r="A136" s="3">
        <v>135.0</v>
      </c>
      <c r="B136" s="4">
        <v>45734.0</v>
      </c>
      <c r="C136" s="3" t="s">
        <v>153</v>
      </c>
      <c r="D136" s="3" t="s">
        <v>10</v>
      </c>
      <c r="E136" s="3">
        <v>25.0</v>
      </c>
      <c r="F136" s="3" t="s">
        <v>15</v>
      </c>
      <c r="G136" s="3">
        <v>1.0</v>
      </c>
      <c r="H136" s="3">
        <v>215.0</v>
      </c>
      <c r="I136" s="3">
        <v>215.0</v>
      </c>
      <c r="J136" s="2"/>
      <c r="K136" s="2"/>
    </row>
    <row r="137">
      <c r="A137" s="3">
        <v>136.0</v>
      </c>
      <c r="B137" s="4">
        <v>45943.0</v>
      </c>
      <c r="C137" s="3" t="s">
        <v>154</v>
      </c>
      <c r="D137" s="3" t="s">
        <v>10</v>
      </c>
      <c r="E137" s="3">
        <v>51.0</v>
      </c>
      <c r="F137" s="3" t="s">
        <v>54</v>
      </c>
      <c r="G137" s="3">
        <v>5.0</v>
      </c>
      <c r="H137" s="3">
        <v>100.0</v>
      </c>
      <c r="I137" s="3">
        <v>500.0</v>
      </c>
      <c r="J137" s="2"/>
      <c r="K137" s="2"/>
    </row>
    <row r="138">
      <c r="A138" s="3">
        <v>137.0</v>
      </c>
      <c r="B138" s="4">
        <v>45852.0</v>
      </c>
      <c r="C138" s="3" t="s">
        <v>155</v>
      </c>
      <c r="D138" s="3" t="s">
        <v>17</v>
      </c>
      <c r="E138" s="3">
        <v>37.0</v>
      </c>
      <c r="F138" s="3" t="s">
        <v>54</v>
      </c>
      <c r="G138" s="3">
        <v>3.0</v>
      </c>
      <c r="H138" s="3">
        <v>75.0</v>
      </c>
      <c r="I138" s="3">
        <v>225.0</v>
      </c>
      <c r="J138" s="2"/>
      <c r="K138" s="2"/>
    </row>
    <row r="139">
      <c r="A139" s="3">
        <v>138.0</v>
      </c>
      <c r="B139" s="4">
        <v>45949.0</v>
      </c>
      <c r="C139" s="3" t="s">
        <v>156</v>
      </c>
      <c r="D139" s="3" t="s">
        <v>10</v>
      </c>
      <c r="E139" s="3">
        <v>31.0</v>
      </c>
      <c r="F139" s="3" t="s">
        <v>15</v>
      </c>
      <c r="G139" s="3">
        <v>5.0</v>
      </c>
      <c r="H139" s="3">
        <v>60.0</v>
      </c>
      <c r="I139" s="3">
        <v>300.0</v>
      </c>
      <c r="J139" s="2"/>
      <c r="K139" s="2"/>
    </row>
    <row r="140">
      <c r="A140" s="3">
        <v>139.0</v>
      </c>
      <c r="B140" s="4">
        <v>45978.0</v>
      </c>
      <c r="C140" s="3" t="s">
        <v>157</v>
      </c>
      <c r="D140" s="3" t="s">
        <v>10</v>
      </c>
      <c r="E140" s="3">
        <v>33.0</v>
      </c>
      <c r="F140" s="3" t="s">
        <v>20</v>
      </c>
      <c r="G140" s="3">
        <v>1.0</v>
      </c>
      <c r="H140" s="3">
        <v>100.0</v>
      </c>
      <c r="I140" s="3">
        <v>100.0</v>
      </c>
      <c r="J140" s="2"/>
      <c r="K140" s="2"/>
    </row>
    <row r="141">
      <c r="A141" s="3">
        <v>140.0</v>
      </c>
      <c r="B141" s="4">
        <v>45746.0</v>
      </c>
      <c r="C141" s="3" t="s">
        <v>158</v>
      </c>
      <c r="D141" s="3" t="s">
        <v>10</v>
      </c>
      <c r="E141" s="3">
        <v>44.0</v>
      </c>
      <c r="F141" s="3" t="s">
        <v>15</v>
      </c>
      <c r="G141" s="3">
        <v>2.0</v>
      </c>
      <c r="H141" s="3">
        <v>70.0</v>
      </c>
      <c r="I141" s="3">
        <v>140.0</v>
      </c>
      <c r="J141" s="2"/>
      <c r="K141" s="2"/>
    </row>
    <row r="142">
      <c r="A142" s="3">
        <v>141.0</v>
      </c>
      <c r="B142" s="4">
        <v>45888.0</v>
      </c>
      <c r="C142" s="3" t="s">
        <v>159</v>
      </c>
      <c r="D142" s="3" t="s">
        <v>10</v>
      </c>
      <c r="E142" s="3">
        <v>32.0</v>
      </c>
      <c r="F142" s="3" t="s">
        <v>15</v>
      </c>
      <c r="G142" s="3">
        <v>3.0</v>
      </c>
      <c r="H142" s="3">
        <v>325.0</v>
      </c>
      <c r="I142" s="3">
        <v>975.0</v>
      </c>
      <c r="J142" s="2"/>
      <c r="K142" s="2"/>
    </row>
    <row r="143">
      <c r="A143" s="3">
        <v>142.0</v>
      </c>
      <c r="B143" s="4">
        <v>45805.0</v>
      </c>
      <c r="C143" s="3" t="s">
        <v>160</v>
      </c>
      <c r="D143" s="3" t="s">
        <v>10</v>
      </c>
      <c r="E143" s="3">
        <v>34.0</v>
      </c>
      <c r="F143" s="3" t="s">
        <v>22</v>
      </c>
      <c r="G143" s="3">
        <v>1.0</v>
      </c>
      <c r="H143" s="3">
        <v>1260.0</v>
      </c>
      <c r="I143" s="3">
        <v>1260.0</v>
      </c>
      <c r="J143" s="2"/>
      <c r="K143" s="2"/>
    </row>
    <row r="144">
      <c r="A144" s="3">
        <v>143.0</v>
      </c>
      <c r="B144" s="4">
        <v>45978.0</v>
      </c>
      <c r="C144" s="3" t="s">
        <v>161</v>
      </c>
      <c r="D144" s="3" t="s">
        <v>17</v>
      </c>
      <c r="E144" s="3">
        <v>25.0</v>
      </c>
      <c r="F144" s="3" t="s">
        <v>15</v>
      </c>
      <c r="G144" s="3">
        <v>2.0</v>
      </c>
      <c r="H144" s="3">
        <v>445.0</v>
      </c>
      <c r="I144" s="3">
        <v>890.0</v>
      </c>
      <c r="J144" s="2"/>
      <c r="K144" s="2"/>
    </row>
    <row r="145">
      <c r="A145" s="3">
        <v>144.0</v>
      </c>
      <c r="B145" s="4">
        <v>45936.0</v>
      </c>
      <c r="C145" s="3" t="s">
        <v>162</v>
      </c>
      <c r="D145" s="3" t="s">
        <v>10</v>
      </c>
      <c r="E145" s="3">
        <v>22.0</v>
      </c>
      <c r="F145" s="3" t="s">
        <v>20</v>
      </c>
      <c r="G145" s="3">
        <v>3.0</v>
      </c>
      <c r="H145" s="3">
        <v>65.0</v>
      </c>
      <c r="I145" s="3">
        <v>195.0</v>
      </c>
      <c r="J145" s="2"/>
      <c r="K145" s="2"/>
    </row>
    <row r="146">
      <c r="A146" s="3">
        <v>145.0</v>
      </c>
      <c r="B146" s="4">
        <v>45688.0</v>
      </c>
      <c r="C146" s="3" t="s">
        <v>163</v>
      </c>
      <c r="D146" s="3" t="s">
        <v>17</v>
      </c>
      <c r="E146" s="3">
        <v>46.0</v>
      </c>
      <c r="F146" s="3" t="s">
        <v>20</v>
      </c>
      <c r="G146" s="3">
        <v>5.0</v>
      </c>
      <c r="H146" s="3">
        <v>115.0</v>
      </c>
      <c r="I146" s="3">
        <v>575.0</v>
      </c>
      <c r="J146" s="2"/>
      <c r="K146" s="2"/>
    </row>
    <row r="147">
      <c r="A147" s="3">
        <v>146.0</v>
      </c>
      <c r="B147" s="4">
        <v>45721.0</v>
      </c>
      <c r="C147" s="3" t="s">
        <v>164</v>
      </c>
      <c r="D147" s="3" t="s">
        <v>17</v>
      </c>
      <c r="E147" s="3">
        <v>35.0</v>
      </c>
      <c r="F147" s="3" t="s">
        <v>54</v>
      </c>
      <c r="G147" s="3">
        <v>3.0</v>
      </c>
      <c r="H147" s="3">
        <v>115.0</v>
      </c>
      <c r="I147" s="3">
        <v>345.0</v>
      </c>
      <c r="J147" s="2"/>
      <c r="K147" s="2"/>
    </row>
    <row r="148">
      <c r="A148" s="3">
        <v>147.0</v>
      </c>
      <c r="B148" s="4">
        <v>45914.0</v>
      </c>
      <c r="C148" s="3" t="s">
        <v>165</v>
      </c>
      <c r="D148" s="3" t="s">
        <v>10</v>
      </c>
      <c r="E148" s="3">
        <v>56.0</v>
      </c>
      <c r="F148" s="3" t="s">
        <v>15</v>
      </c>
      <c r="G148" s="3">
        <v>4.0</v>
      </c>
      <c r="H148" s="3">
        <v>340.0</v>
      </c>
      <c r="I148" s="3">
        <v>1360.0</v>
      </c>
      <c r="J148" s="2"/>
      <c r="K148" s="2"/>
    </row>
    <row r="149">
      <c r="A149" s="3">
        <v>148.0</v>
      </c>
      <c r="B149" s="4">
        <v>45678.0</v>
      </c>
      <c r="C149" s="3" t="s">
        <v>166</v>
      </c>
      <c r="D149" s="3" t="s">
        <v>17</v>
      </c>
      <c r="E149" s="3">
        <v>19.0</v>
      </c>
      <c r="F149" s="3" t="s">
        <v>54</v>
      </c>
      <c r="G149" s="3">
        <v>3.0</v>
      </c>
      <c r="H149" s="3">
        <v>120.0</v>
      </c>
      <c r="I149" s="3">
        <v>360.0</v>
      </c>
      <c r="J149" s="2"/>
      <c r="K149" s="2"/>
    </row>
    <row r="150">
      <c r="A150" s="3">
        <v>149.0</v>
      </c>
      <c r="B150" s="4">
        <v>45704.0</v>
      </c>
      <c r="C150" s="3" t="s">
        <v>167</v>
      </c>
      <c r="D150" s="3" t="s">
        <v>10</v>
      </c>
      <c r="E150" s="3">
        <v>29.0</v>
      </c>
      <c r="F150" s="3" t="s">
        <v>20</v>
      </c>
      <c r="G150" s="3">
        <v>3.0</v>
      </c>
      <c r="H150" s="3">
        <v>25.0</v>
      </c>
      <c r="I150" s="3">
        <v>75.0</v>
      </c>
      <c r="J150" s="2"/>
      <c r="K150" s="2"/>
    </row>
    <row r="151">
      <c r="A151" s="3">
        <v>150.0</v>
      </c>
      <c r="B151" s="4">
        <v>45898.0</v>
      </c>
      <c r="C151" s="3" t="s">
        <v>168</v>
      </c>
      <c r="D151" s="3" t="s">
        <v>17</v>
      </c>
      <c r="E151" s="3">
        <v>29.0</v>
      </c>
      <c r="F151" s="3" t="s">
        <v>15</v>
      </c>
      <c r="G151" s="3">
        <v>4.0</v>
      </c>
      <c r="H151" s="3">
        <v>440.0</v>
      </c>
      <c r="I151" s="3">
        <v>1760.0</v>
      </c>
      <c r="J151" s="2"/>
      <c r="K151" s="2"/>
    </row>
    <row r="152">
      <c r="A152" s="3">
        <v>151.0</v>
      </c>
      <c r="B152" s="4">
        <v>45957.0</v>
      </c>
      <c r="C152" s="3" t="s">
        <v>169</v>
      </c>
      <c r="D152" s="3" t="s">
        <v>10</v>
      </c>
      <c r="E152" s="3">
        <v>48.0</v>
      </c>
      <c r="F152" s="3" t="s">
        <v>54</v>
      </c>
      <c r="G152" s="3">
        <v>4.0</v>
      </c>
      <c r="H152" s="3">
        <v>105.0</v>
      </c>
      <c r="I152" s="3">
        <v>420.0</v>
      </c>
      <c r="J152" s="2"/>
      <c r="K152" s="2"/>
    </row>
    <row r="153">
      <c r="A153" s="3">
        <v>152.0</v>
      </c>
      <c r="B153" s="4">
        <v>45836.0</v>
      </c>
      <c r="C153" s="3" t="s">
        <v>170</v>
      </c>
      <c r="D153" s="3" t="s">
        <v>10</v>
      </c>
      <c r="E153" s="3">
        <v>28.0</v>
      </c>
      <c r="F153" s="3" t="s">
        <v>54</v>
      </c>
      <c r="G153" s="3">
        <v>3.0</v>
      </c>
      <c r="H153" s="3">
        <v>55.0</v>
      </c>
      <c r="I153" s="3">
        <v>165.0</v>
      </c>
      <c r="J153" s="2"/>
      <c r="K153" s="2"/>
    </row>
    <row r="154">
      <c r="A154" s="3">
        <v>153.0</v>
      </c>
      <c r="B154" s="4">
        <v>45826.0</v>
      </c>
      <c r="C154" s="3" t="s">
        <v>171</v>
      </c>
      <c r="D154" s="3" t="s">
        <v>17</v>
      </c>
      <c r="E154" s="3">
        <v>60.0</v>
      </c>
      <c r="F154" s="3" t="s">
        <v>54</v>
      </c>
      <c r="G154" s="3">
        <v>4.0</v>
      </c>
      <c r="H154" s="3">
        <v>115.0</v>
      </c>
      <c r="I154" s="3">
        <v>460.0</v>
      </c>
      <c r="J154" s="2"/>
      <c r="K154" s="2"/>
    </row>
    <row r="155">
      <c r="A155" s="3">
        <v>154.0</v>
      </c>
      <c r="B155" s="4">
        <v>45863.0</v>
      </c>
      <c r="C155" s="3" t="s">
        <v>172</v>
      </c>
      <c r="D155" s="3" t="s">
        <v>10</v>
      </c>
      <c r="E155" s="3">
        <v>38.0</v>
      </c>
      <c r="F155" s="3" t="s">
        <v>15</v>
      </c>
      <c r="G155" s="3">
        <v>4.0</v>
      </c>
      <c r="H155" s="3">
        <v>45.0</v>
      </c>
      <c r="I155" s="3">
        <v>180.0</v>
      </c>
      <c r="J155" s="2"/>
      <c r="K155" s="2"/>
    </row>
    <row r="156">
      <c r="A156" s="3">
        <v>155.0</v>
      </c>
      <c r="B156" s="4">
        <v>45787.0</v>
      </c>
      <c r="C156" s="3" t="s">
        <v>173</v>
      </c>
      <c r="D156" s="3" t="s">
        <v>10</v>
      </c>
      <c r="E156" s="3">
        <v>60.0</v>
      </c>
      <c r="F156" s="3" t="s">
        <v>22</v>
      </c>
      <c r="G156" s="3">
        <v>4.0</v>
      </c>
      <c r="H156" s="3">
        <v>395.0</v>
      </c>
      <c r="I156" s="3">
        <v>1580.0</v>
      </c>
      <c r="J156" s="2"/>
      <c r="K156" s="2"/>
    </row>
    <row r="157">
      <c r="A157" s="3">
        <v>156.0</v>
      </c>
      <c r="B157" s="4">
        <v>45935.0</v>
      </c>
      <c r="C157" s="3" t="s">
        <v>174</v>
      </c>
      <c r="D157" s="3" t="s">
        <v>10</v>
      </c>
      <c r="E157" s="3">
        <v>51.0</v>
      </c>
      <c r="F157" s="3" t="s">
        <v>54</v>
      </c>
      <c r="G157" s="3">
        <v>1.0</v>
      </c>
      <c r="H157" s="3">
        <v>70.0</v>
      </c>
      <c r="I157" s="3">
        <v>70.0</v>
      </c>
      <c r="J157" s="2"/>
      <c r="K157" s="2"/>
    </row>
    <row r="158">
      <c r="A158" s="3">
        <v>157.0</v>
      </c>
      <c r="B158" s="4">
        <v>45843.0</v>
      </c>
      <c r="C158" s="3" t="s">
        <v>175</v>
      </c>
      <c r="D158" s="3" t="s">
        <v>10</v>
      </c>
      <c r="E158" s="3">
        <v>31.0</v>
      </c>
      <c r="F158" s="3" t="s">
        <v>15</v>
      </c>
      <c r="G158" s="3">
        <v>4.0</v>
      </c>
      <c r="H158" s="3">
        <v>340.0</v>
      </c>
      <c r="I158" s="3">
        <v>1360.0</v>
      </c>
      <c r="J158" s="2"/>
      <c r="K158" s="2"/>
    </row>
    <row r="159">
      <c r="A159" s="3">
        <v>158.0</v>
      </c>
      <c r="B159" s="4">
        <v>45794.0</v>
      </c>
      <c r="C159" s="3" t="s">
        <v>176</v>
      </c>
      <c r="D159" s="3" t="s">
        <v>17</v>
      </c>
      <c r="E159" s="3">
        <v>49.0</v>
      </c>
      <c r="F159" s="3" t="s">
        <v>15</v>
      </c>
      <c r="G159" s="3">
        <v>3.0</v>
      </c>
      <c r="H159" s="3">
        <v>105.0</v>
      </c>
      <c r="I159" s="3">
        <v>315.0</v>
      </c>
      <c r="J159" s="2"/>
      <c r="K159" s="2"/>
    </row>
    <row r="160">
      <c r="A160" s="3">
        <v>159.0</v>
      </c>
      <c r="B160" s="4">
        <v>45720.0</v>
      </c>
      <c r="C160" s="3" t="s">
        <v>177</v>
      </c>
      <c r="D160" s="3" t="s">
        <v>10</v>
      </c>
      <c r="E160" s="3">
        <v>28.0</v>
      </c>
      <c r="F160" s="3" t="s">
        <v>11</v>
      </c>
      <c r="G160" s="3">
        <v>5.0</v>
      </c>
      <c r="H160" s="3">
        <v>215.0</v>
      </c>
      <c r="I160" s="3">
        <v>1075.0</v>
      </c>
      <c r="J160" s="2"/>
      <c r="K160" s="2"/>
    </row>
    <row r="161">
      <c r="A161" s="3">
        <v>160.0</v>
      </c>
      <c r="B161" s="4">
        <v>45817.0</v>
      </c>
      <c r="C161" s="3" t="s">
        <v>178</v>
      </c>
      <c r="D161" s="3" t="s">
        <v>17</v>
      </c>
      <c r="E161" s="3">
        <v>23.0</v>
      </c>
      <c r="F161" s="3" t="s">
        <v>15</v>
      </c>
      <c r="G161" s="3">
        <v>5.0</v>
      </c>
      <c r="H161" s="3">
        <v>30.0</v>
      </c>
      <c r="I161" s="3">
        <v>150.0</v>
      </c>
      <c r="J161" s="2"/>
      <c r="K161" s="2"/>
    </row>
    <row r="162">
      <c r="A162" s="3">
        <v>161.0</v>
      </c>
      <c r="B162" s="4">
        <v>45773.0</v>
      </c>
      <c r="C162" s="3" t="s">
        <v>179</v>
      </c>
      <c r="D162" s="3" t="s">
        <v>10</v>
      </c>
      <c r="E162" s="3">
        <v>49.0</v>
      </c>
      <c r="F162" s="3" t="s">
        <v>11</v>
      </c>
      <c r="G162" s="3">
        <v>1.0</v>
      </c>
      <c r="H162" s="3">
        <v>160.0</v>
      </c>
      <c r="I162" s="3">
        <v>160.0</v>
      </c>
      <c r="J162" s="2"/>
      <c r="K162" s="2"/>
    </row>
    <row r="163">
      <c r="A163" s="3">
        <v>162.0</v>
      </c>
      <c r="B163" s="4">
        <v>45807.0</v>
      </c>
      <c r="C163" s="3" t="s">
        <v>180</v>
      </c>
      <c r="D163" s="3" t="s">
        <v>17</v>
      </c>
      <c r="E163" s="3">
        <v>48.0</v>
      </c>
      <c r="F163" s="3" t="s">
        <v>15</v>
      </c>
      <c r="G163" s="3">
        <v>3.0</v>
      </c>
      <c r="H163" s="3">
        <v>475.0</v>
      </c>
      <c r="I163" s="3">
        <v>1425.0</v>
      </c>
      <c r="J163" s="2"/>
      <c r="K163" s="2"/>
    </row>
    <row r="164">
      <c r="A164" s="3">
        <v>163.0</v>
      </c>
      <c r="B164" s="4">
        <v>45899.0</v>
      </c>
      <c r="C164" s="3" t="s">
        <v>181</v>
      </c>
      <c r="D164" s="3" t="s">
        <v>10</v>
      </c>
      <c r="E164" s="3">
        <v>42.0</v>
      </c>
      <c r="F164" s="3" t="s">
        <v>20</v>
      </c>
      <c r="G164" s="3">
        <v>5.0</v>
      </c>
      <c r="H164" s="3">
        <v>165.0</v>
      </c>
      <c r="I164" s="3">
        <v>825.0</v>
      </c>
      <c r="J164" s="2"/>
      <c r="K164" s="2"/>
    </row>
    <row r="165">
      <c r="A165" s="3">
        <v>164.0</v>
      </c>
      <c r="B165" s="4">
        <v>45755.0</v>
      </c>
      <c r="C165" s="3" t="s">
        <v>182</v>
      </c>
      <c r="D165" s="3" t="s">
        <v>10</v>
      </c>
      <c r="E165" s="3">
        <v>35.0</v>
      </c>
      <c r="F165" s="3" t="s">
        <v>15</v>
      </c>
      <c r="G165" s="3">
        <v>2.0</v>
      </c>
      <c r="H165" s="3">
        <v>350.0</v>
      </c>
      <c r="I165" s="3">
        <v>700.0</v>
      </c>
      <c r="J165" s="2"/>
      <c r="K165" s="2"/>
    </row>
    <row r="166">
      <c r="A166" s="3">
        <v>165.0</v>
      </c>
      <c r="B166" s="4">
        <v>45870.0</v>
      </c>
      <c r="C166" s="3" t="s">
        <v>183</v>
      </c>
      <c r="D166" s="3" t="s">
        <v>10</v>
      </c>
      <c r="E166" s="3">
        <v>36.0</v>
      </c>
      <c r="F166" s="3" t="s">
        <v>22</v>
      </c>
      <c r="G166" s="3">
        <v>3.0</v>
      </c>
      <c r="H166" s="3">
        <v>1395.0</v>
      </c>
      <c r="I166" s="3">
        <v>4185.0</v>
      </c>
      <c r="J166" s="2"/>
      <c r="K166" s="2"/>
    </row>
    <row r="167">
      <c r="A167" s="3">
        <v>166.0</v>
      </c>
      <c r="B167" s="4">
        <v>45810.0</v>
      </c>
      <c r="C167" s="3" t="s">
        <v>184</v>
      </c>
      <c r="D167" s="3" t="s">
        <v>10</v>
      </c>
      <c r="E167" s="3">
        <v>46.0</v>
      </c>
      <c r="F167" s="3" t="s">
        <v>15</v>
      </c>
      <c r="G167" s="3">
        <v>4.0</v>
      </c>
      <c r="H167" s="3">
        <v>395.0</v>
      </c>
      <c r="I167" s="3">
        <v>1580.0</v>
      </c>
      <c r="J167" s="2"/>
      <c r="K167" s="2"/>
    </row>
    <row r="168">
      <c r="A168" s="3">
        <v>167.0</v>
      </c>
      <c r="B168" s="4">
        <v>45933.0</v>
      </c>
      <c r="C168" s="3" t="s">
        <v>185</v>
      </c>
      <c r="D168" s="3" t="s">
        <v>17</v>
      </c>
      <c r="E168" s="3">
        <v>47.0</v>
      </c>
      <c r="F168" s="3" t="s">
        <v>54</v>
      </c>
      <c r="G168" s="3">
        <v>3.0</v>
      </c>
      <c r="H168" s="3">
        <v>60.0</v>
      </c>
      <c r="I168" s="3">
        <v>180.0</v>
      </c>
      <c r="J168" s="2"/>
      <c r="K168" s="2"/>
    </row>
    <row r="169">
      <c r="A169" s="3">
        <v>168.0</v>
      </c>
      <c r="B169" s="4">
        <v>45822.0</v>
      </c>
      <c r="C169" s="3" t="s">
        <v>186</v>
      </c>
      <c r="D169" s="3" t="s">
        <v>17</v>
      </c>
      <c r="E169" s="3">
        <v>32.0</v>
      </c>
      <c r="F169" s="3" t="s">
        <v>20</v>
      </c>
      <c r="G169" s="3">
        <v>5.0</v>
      </c>
      <c r="H169" s="3">
        <v>95.0</v>
      </c>
      <c r="I169" s="3">
        <v>475.0</v>
      </c>
      <c r="J169" s="2"/>
      <c r="K169" s="2"/>
    </row>
    <row r="170">
      <c r="A170" s="3">
        <v>169.0</v>
      </c>
      <c r="B170" s="4">
        <v>45868.0</v>
      </c>
      <c r="C170" s="3" t="s">
        <v>187</v>
      </c>
      <c r="D170" s="3" t="s">
        <v>17</v>
      </c>
      <c r="E170" s="3">
        <v>42.0</v>
      </c>
      <c r="F170" s="3" t="s">
        <v>11</v>
      </c>
      <c r="G170" s="3">
        <v>4.0</v>
      </c>
      <c r="H170" s="3">
        <v>115.0</v>
      </c>
      <c r="I170" s="3">
        <v>460.0</v>
      </c>
      <c r="J170" s="2"/>
      <c r="K170" s="2"/>
    </row>
    <row r="171">
      <c r="A171" s="3">
        <v>170.0</v>
      </c>
      <c r="B171" s="4">
        <v>45997.0</v>
      </c>
      <c r="C171" s="3" t="s">
        <v>188</v>
      </c>
      <c r="D171" s="3" t="s">
        <v>10</v>
      </c>
      <c r="E171" s="3">
        <v>50.0</v>
      </c>
      <c r="F171" s="3" t="s">
        <v>20</v>
      </c>
      <c r="G171" s="3">
        <v>1.0</v>
      </c>
      <c r="H171" s="3">
        <v>175.0</v>
      </c>
      <c r="I171" s="3">
        <v>175.0</v>
      </c>
      <c r="J171" s="2"/>
      <c r="K171" s="2"/>
    </row>
    <row r="172">
      <c r="A172" s="3">
        <v>171.0</v>
      </c>
      <c r="B172" s="4">
        <v>45960.0</v>
      </c>
      <c r="C172" s="3" t="s">
        <v>189</v>
      </c>
      <c r="D172" s="3" t="s">
        <v>10</v>
      </c>
      <c r="E172" s="3">
        <v>51.0</v>
      </c>
      <c r="F172" s="3" t="s">
        <v>22</v>
      </c>
      <c r="G172" s="3">
        <v>4.0</v>
      </c>
      <c r="H172" s="3">
        <v>355.0</v>
      </c>
      <c r="I172" s="3">
        <v>1420.0</v>
      </c>
      <c r="J172" s="2"/>
      <c r="K172" s="2"/>
    </row>
    <row r="173">
      <c r="A173" s="3">
        <v>172.0</v>
      </c>
      <c r="B173" s="4">
        <v>45891.0</v>
      </c>
      <c r="C173" s="3" t="s">
        <v>190</v>
      </c>
      <c r="D173" s="3" t="s">
        <v>17</v>
      </c>
      <c r="E173" s="3">
        <v>59.0</v>
      </c>
      <c r="F173" s="3" t="s">
        <v>11</v>
      </c>
      <c r="G173" s="3">
        <v>2.0</v>
      </c>
      <c r="H173" s="3">
        <v>245.0</v>
      </c>
      <c r="I173" s="3">
        <v>490.0</v>
      </c>
      <c r="J173" s="2"/>
      <c r="K173" s="2"/>
    </row>
    <row r="174">
      <c r="A174" s="3">
        <v>173.0</v>
      </c>
      <c r="B174" s="4">
        <v>45737.0</v>
      </c>
      <c r="C174" s="3" t="s">
        <v>191</v>
      </c>
      <c r="D174" s="3" t="s">
        <v>17</v>
      </c>
      <c r="E174" s="3">
        <v>57.0</v>
      </c>
      <c r="F174" s="3" t="s">
        <v>11</v>
      </c>
      <c r="G174" s="3">
        <v>3.0</v>
      </c>
      <c r="H174" s="3">
        <v>165.0</v>
      </c>
      <c r="I174" s="3">
        <v>495.0</v>
      </c>
      <c r="J174" s="2"/>
      <c r="K174" s="2"/>
    </row>
    <row r="175">
      <c r="A175" s="3">
        <v>174.0</v>
      </c>
      <c r="B175" s="4">
        <v>46012.0</v>
      </c>
      <c r="C175" s="3" t="s">
        <v>192</v>
      </c>
      <c r="D175" s="3" t="s">
        <v>17</v>
      </c>
      <c r="E175" s="3">
        <v>52.0</v>
      </c>
      <c r="F175" s="3" t="s">
        <v>54</v>
      </c>
      <c r="G175" s="3">
        <v>1.0</v>
      </c>
      <c r="H175" s="3">
        <v>105.0</v>
      </c>
      <c r="I175" s="3">
        <v>105.0</v>
      </c>
      <c r="J175" s="2"/>
      <c r="K175" s="2"/>
    </row>
    <row r="176">
      <c r="A176" s="3">
        <v>175.0</v>
      </c>
      <c r="B176" s="4">
        <v>45852.0</v>
      </c>
      <c r="C176" s="3" t="s">
        <v>193</v>
      </c>
      <c r="D176" s="3" t="s">
        <v>10</v>
      </c>
      <c r="E176" s="3">
        <v>57.0</v>
      </c>
      <c r="F176" s="3" t="s">
        <v>22</v>
      </c>
      <c r="G176" s="3">
        <v>5.0</v>
      </c>
      <c r="H176" s="3">
        <v>1345.0</v>
      </c>
      <c r="I176" s="3">
        <v>6725.0</v>
      </c>
      <c r="J176" s="2"/>
      <c r="K176" s="2"/>
    </row>
    <row r="177">
      <c r="A177" s="3">
        <v>176.0</v>
      </c>
      <c r="B177" s="4">
        <v>45693.0</v>
      </c>
      <c r="C177" s="3" t="s">
        <v>194</v>
      </c>
      <c r="D177" s="3" t="s">
        <v>10</v>
      </c>
      <c r="E177" s="3">
        <v>45.0</v>
      </c>
      <c r="F177" s="3" t="s">
        <v>20</v>
      </c>
      <c r="G177" s="3">
        <v>2.0</v>
      </c>
      <c r="H177" s="3">
        <v>110.0</v>
      </c>
      <c r="I177" s="3">
        <v>220.0</v>
      </c>
      <c r="J177" s="2"/>
      <c r="K177" s="2"/>
    </row>
    <row r="178">
      <c r="A178" s="3">
        <v>177.0</v>
      </c>
      <c r="B178" s="4">
        <v>45708.0</v>
      </c>
      <c r="C178" s="3" t="s">
        <v>195</v>
      </c>
      <c r="D178" s="3" t="s">
        <v>17</v>
      </c>
      <c r="E178" s="3">
        <v>19.0</v>
      </c>
      <c r="F178" s="3" t="s">
        <v>11</v>
      </c>
      <c r="G178" s="3">
        <v>2.0</v>
      </c>
      <c r="H178" s="3">
        <v>155.0</v>
      </c>
      <c r="I178" s="3">
        <v>310.0</v>
      </c>
      <c r="J178" s="2"/>
      <c r="K178" s="2"/>
    </row>
    <row r="179">
      <c r="A179" s="3">
        <v>178.0</v>
      </c>
      <c r="B179" s="4">
        <v>45681.0</v>
      </c>
      <c r="C179" s="3" t="s">
        <v>196</v>
      </c>
      <c r="D179" s="3" t="s">
        <v>17</v>
      </c>
      <c r="E179" s="3">
        <v>41.0</v>
      </c>
      <c r="F179" s="3" t="s">
        <v>22</v>
      </c>
      <c r="G179" s="3">
        <v>3.0</v>
      </c>
      <c r="H179" s="3">
        <v>240.0</v>
      </c>
      <c r="I179" s="3">
        <v>720.0</v>
      </c>
      <c r="J179" s="2"/>
      <c r="K179" s="2"/>
    </row>
    <row r="180">
      <c r="A180" s="3">
        <v>179.0</v>
      </c>
      <c r="B180" s="4">
        <v>45878.0</v>
      </c>
      <c r="C180" s="3" t="s">
        <v>197</v>
      </c>
      <c r="D180" s="3" t="s">
        <v>17</v>
      </c>
      <c r="E180" s="3">
        <v>54.0</v>
      </c>
      <c r="F180" s="3" t="s">
        <v>20</v>
      </c>
      <c r="G180" s="3">
        <v>5.0</v>
      </c>
      <c r="H180" s="3">
        <v>95.0</v>
      </c>
      <c r="I180" s="3">
        <v>475.0</v>
      </c>
      <c r="J180" s="2"/>
      <c r="K180" s="2"/>
    </row>
    <row r="181">
      <c r="A181" s="3">
        <v>180.0</v>
      </c>
      <c r="B181" s="4">
        <v>46007.0</v>
      </c>
      <c r="C181" s="3" t="s">
        <v>198</v>
      </c>
      <c r="D181" s="3" t="s">
        <v>10</v>
      </c>
      <c r="E181" s="3">
        <v>57.0</v>
      </c>
      <c r="F181" s="3" t="s">
        <v>20</v>
      </c>
      <c r="G181" s="3">
        <v>2.0</v>
      </c>
      <c r="H181" s="3">
        <v>70.0</v>
      </c>
      <c r="I181" s="3">
        <v>140.0</v>
      </c>
      <c r="J181" s="2"/>
      <c r="K181" s="2"/>
    </row>
    <row r="182">
      <c r="A182" s="3">
        <v>181.0</v>
      </c>
      <c r="B182" s="4">
        <v>45853.0</v>
      </c>
      <c r="C182" s="3" t="s">
        <v>199</v>
      </c>
      <c r="D182" s="3" t="s">
        <v>17</v>
      </c>
      <c r="E182" s="3">
        <v>55.0</v>
      </c>
      <c r="F182" s="3" t="s">
        <v>15</v>
      </c>
      <c r="G182" s="3">
        <v>2.0</v>
      </c>
      <c r="H182" s="3">
        <v>460.0</v>
      </c>
      <c r="I182" s="3">
        <v>920.0</v>
      </c>
      <c r="J182" s="2"/>
      <c r="K182" s="2"/>
    </row>
    <row r="183">
      <c r="A183" s="3">
        <v>182.0</v>
      </c>
      <c r="B183" s="4">
        <v>45731.0</v>
      </c>
      <c r="C183" s="3" t="s">
        <v>200</v>
      </c>
      <c r="D183" s="3" t="s">
        <v>17</v>
      </c>
      <c r="E183" s="3">
        <v>34.0</v>
      </c>
      <c r="F183" s="3" t="s">
        <v>20</v>
      </c>
      <c r="G183" s="3">
        <v>3.0</v>
      </c>
      <c r="H183" s="3">
        <v>165.0</v>
      </c>
      <c r="I183" s="3">
        <v>495.0</v>
      </c>
      <c r="J183" s="2"/>
      <c r="K183" s="2"/>
    </row>
    <row r="184">
      <c r="A184" s="3">
        <v>183.0</v>
      </c>
      <c r="B184" s="4">
        <v>45999.0</v>
      </c>
      <c r="C184" s="3" t="s">
        <v>201</v>
      </c>
      <c r="D184" s="3" t="s">
        <v>10</v>
      </c>
      <c r="E184" s="3">
        <v>22.0</v>
      </c>
      <c r="F184" s="3" t="s">
        <v>11</v>
      </c>
      <c r="G184" s="3">
        <v>3.0</v>
      </c>
      <c r="H184" s="3">
        <v>160.0</v>
      </c>
      <c r="I184" s="3">
        <v>480.0</v>
      </c>
      <c r="J184" s="2"/>
      <c r="K184" s="2"/>
    </row>
    <row r="185">
      <c r="A185" s="3">
        <v>184.0</v>
      </c>
      <c r="B185" s="4">
        <v>45884.0</v>
      </c>
      <c r="C185" s="3" t="s">
        <v>202</v>
      </c>
      <c r="D185" s="3" t="s">
        <v>17</v>
      </c>
      <c r="E185" s="3">
        <v>47.0</v>
      </c>
      <c r="F185" s="3" t="s">
        <v>22</v>
      </c>
      <c r="G185" s="3">
        <v>4.0</v>
      </c>
      <c r="H185" s="3">
        <v>865.0</v>
      </c>
      <c r="I185" s="3">
        <v>3460.0</v>
      </c>
      <c r="J185" s="2"/>
      <c r="K185" s="2"/>
    </row>
    <row r="186">
      <c r="A186" s="3">
        <v>185.0</v>
      </c>
      <c r="B186" s="4">
        <v>45812.0</v>
      </c>
      <c r="C186" s="3" t="s">
        <v>203</v>
      </c>
      <c r="D186" s="3" t="s">
        <v>10</v>
      </c>
      <c r="E186" s="3">
        <v>33.0</v>
      </c>
      <c r="F186" s="3" t="s">
        <v>20</v>
      </c>
      <c r="G186" s="3">
        <v>4.0</v>
      </c>
      <c r="H186" s="3">
        <v>140.0</v>
      </c>
      <c r="I186" s="3">
        <v>560.0</v>
      </c>
      <c r="J186" s="2"/>
      <c r="K186" s="2"/>
    </row>
    <row r="187">
      <c r="A187" s="3">
        <v>186.0</v>
      </c>
      <c r="B187" s="4">
        <v>45853.0</v>
      </c>
      <c r="C187" s="3" t="s">
        <v>204</v>
      </c>
      <c r="D187" s="3" t="s">
        <v>17</v>
      </c>
      <c r="E187" s="3">
        <v>36.0</v>
      </c>
      <c r="F187" s="3" t="s">
        <v>15</v>
      </c>
      <c r="G187" s="3">
        <v>5.0</v>
      </c>
      <c r="H187" s="3">
        <v>250.0</v>
      </c>
      <c r="I187" s="3">
        <v>1250.0</v>
      </c>
      <c r="J187" s="2"/>
      <c r="K187" s="2"/>
    </row>
    <row r="188">
      <c r="A188" s="3">
        <v>187.0</v>
      </c>
      <c r="B188" s="4">
        <v>45669.0</v>
      </c>
      <c r="C188" s="3" t="s">
        <v>205</v>
      </c>
      <c r="D188" s="3" t="s">
        <v>10</v>
      </c>
      <c r="E188" s="3">
        <v>56.0</v>
      </c>
      <c r="F188" s="3" t="s">
        <v>54</v>
      </c>
      <c r="G188" s="3">
        <v>1.0</v>
      </c>
      <c r="H188" s="3">
        <v>45.0</v>
      </c>
      <c r="I188" s="3">
        <v>45.0</v>
      </c>
      <c r="J188" s="2"/>
      <c r="K188" s="2"/>
    </row>
    <row r="189">
      <c r="A189" s="3">
        <v>188.0</v>
      </c>
      <c r="B189" s="4">
        <v>45912.0</v>
      </c>
      <c r="C189" s="3" t="s">
        <v>206</v>
      </c>
      <c r="D189" s="3" t="s">
        <v>17</v>
      </c>
      <c r="E189" s="3">
        <v>32.0</v>
      </c>
      <c r="F189" s="3" t="s">
        <v>22</v>
      </c>
      <c r="G189" s="3">
        <v>5.0</v>
      </c>
      <c r="H189" s="3">
        <v>685.0</v>
      </c>
      <c r="I189" s="3">
        <v>3425.0</v>
      </c>
      <c r="J189" s="2"/>
      <c r="K189" s="2"/>
    </row>
    <row r="190">
      <c r="A190" s="3">
        <v>189.0</v>
      </c>
      <c r="B190" s="4">
        <v>45983.0</v>
      </c>
      <c r="C190" s="3" t="s">
        <v>207</v>
      </c>
      <c r="D190" s="3" t="s">
        <v>10</v>
      </c>
      <c r="E190" s="3">
        <v>58.0</v>
      </c>
      <c r="F190" s="3" t="s">
        <v>20</v>
      </c>
      <c r="G190" s="3">
        <v>2.0</v>
      </c>
      <c r="H190" s="3">
        <v>100.0</v>
      </c>
      <c r="I190" s="3">
        <v>200.0</v>
      </c>
      <c r="J190" s="2"/>
      <c r="K190" s="2"/>
    </row>
    <row r="191">
      <c r="A191" s="3">
        <v>190.0</v>
      </c>
      <c r="B191" s="4">
        <v>45988.0</v>
      </c>
      <c r="C191" s="3" t="s">
        <v>208</v>
      </c>
      <c r="D191" s="3" t="s">
        <v>10</v>
      </c>
      <c r="E191" s="3">
        <v>55.0</v>
      </c>
      <c r="F191" s="3" t="s">
        <v>11</v>
      </c>
      <c r="G191" s="3">
        <v>4.0</v>
      </c>
      <c r="H191" s="3">
        <v>110.0</v>
      </c>
      <c r="I191" s="3">
        <v>440.0</v>
      </c>
      <c r="J191" s="2"/>
      <c r="K191" s="2"/>
    </row>
    <row r="192">
      <c r="A192" s="3">
        <v>191.0</v>
      </c>
      <c r="B192" s="4">
        <v>45844.0</v>
      </c>
      <c r="C192" s="3" t="s">
        <v>209</v>
      </c>
      <c r="D192" s="3" t="s">
        <v>17</v>
      </c>
      <c r="E192" s="3">
        <v>44.0</v>
      </c>
      <c r="F192" s="3" t="s">
        <v>20</v>
      </c>
      <c r="G192" s="3">
        <v>3.0</v>
      </c>
      <c r="H192" s="3">
        <v>45.0</v>
      </c>
      <c r="I192" s="3">
        <v>135.0</v>
      </c>
      <c r="J192" s="2"/>
      <c r="K192" s="2"/>
    </row>
    <row r="193">
      <c r="A193" s="3">
        <v>192.0</v>
      </c>
      <c r="B193" s="4">
        <v>45747.0</v>
      </c>
      <c r="C193" s="3" t="s">
        <v>210</v>
      </c>
      <c r="D193" s="3" t="s">
        <v>17</v>
      </c>
      <c r="E193" s="3">
        <v>51.0</v>
      </c>
      <c r="F193" s="3" t="s">
        <v>20</v>
      </c>
      <c r="G193" s="3">
        <v>5.0</v>
      </c>
      <c r="H193" s="3">
        <v>60.0</v>
      </c>
      <c r="I193" s="3">
        <v>300.0</v>
      </c>
      <c r="J193" s="2"/>
      <c r="K193" s="2"/>
    </row>
    <row r="194">
      <c r="A194" s="3">
        <v>193.0</v>
      </c>
      <c r="B194" s="4">
        <v>45914.0</v>
      </c>
      <c r="C194" s="3" t="s">
        <v>211</v>
      </c>
      <c r="D194" s="3" t="s">
        <v>17</v>
      </c>
      <c r="E194" s="3">
        <v>36.0</v>
      </c>
      <c r="F194" s="3" t="s">
        <v>22</v>
      </c>
      <c r="G194" s="3">
        <v>3.0</v>
      </c>
      <c r="H194" s="3">
        <v>520.0</v>
      </c>
      <c r="I194" s="3">
        <v>1560.0</v>
      </c>
      <c r="J194" s="2"/>
      <c r="K194" s="2"/>
    </row>
    <row r="195">
      <c r="A195" s="3">
        <v>194.0</v>
      </c>
      <c r="B195" s="4">
        <v>45831.0</v>
      </c>
      <c r="C195" s="3" t="s">
        <v>212</v>
      </c>
      <c r="D195" s="3" t="s">
        <v>10</v>
      </c>
      <c r="E195" s="3">
        <v>32.0</v>
      </c>
      <c r="F195" s="3" t="s">
        <v>11</v>
      </c>
      <c r="G195" s="3">
        <v>1.0</v>
      </c>
      <c r="H195" s="3">
        <v>160.0</v>
      </c>
      <c r="I195" s="3">
        <v>160.0</v>
      </c>
      <c r="J195" s="2"/>
      <c r="K195" s="2"/>
    </row>
    <row r="196">
      <c r="A196" s="3">
        <v>195.0</v>
      </c>
      <c r="B196" s="4">
        <v>46004.0</v>
      </c>
      <c r="C196" s="3" t="s">
        <v>213</v>
      </c>
      <c r="D196" s="3" t="s">
        <v>10</v>
      </c>
      <c r="E196" s="3">
        <v>43.0</v>
      </c>
      <c r="F196" s="3" t="s">
        <v>54</v>
      </c>
      <c r="G196" s="3">
        <v>3.0</v>
      </c>
      <c r="H196" s="3">
        <v>90.0</v>
      </c>
      <c r="I196" s="3">
        <v>270.0</v>
      </c>
      <c r="J196" s="2"/>
      <c r="K196" s="2"/>
    </row>
    <row r="197">
      <c r="A197" s="3">
        <v>196.0</v>
      </c>
      <c r="B197" s="4">
        <v>45665.0</v>
      </c>
      <c r="C197" s="3" t="s">
        <v>214</v>
      </c>
      <c r="D197" s="3" t="s">
        <v>17</v>
      </c>
      <c r="E197" s="3">
        <v>41.0</v>
      </c>
      <c r="F197" s="3" t="s">
        <v>22</v>
      </c>
      <c r="G197" s="3">
        <v>1.0</v>
      </c>
      <c r="H197" s="3">
        <v>1470.0</v>
      </c>
      <c r="I197" s="3">
        <v>1470.0</v>
      </c>
      <c r="J197" s="2"/>
      <c r="K197" s="2"/>
    </row>
    <row r="198">
      <c r="A198" s="3">
        <v>197.0</v>
      </c>
      <c r="B198" s="4">
        <v>46002.0</v>
      </c>
      <c r="C198" s="3" t="s">
        <v>215</v>
      </c>
      <c r="D198" s="3" t="s">
        <v>10</v>
      </c>
      <c r="E198" s="3">
        <v>32.0</v>
      </c>
      <c r="F198" s="3" t="s">
        <v>22</v>
      </c>
      <c r="G198" s="3">
        <v>3.0</v>
      </c>
      <c r="H198" s="3">
        <v>1075.0</v>
      </c>
      <c r="I198" s="3">
        <v>3225.0</v>
      </c>
      <c r="J198" s="2"/>
      <c r="K198" s="2"/>
    </row>
    <row r="199">
      <c r="A199" s="3">
        <v>198.0</v>
      </c>
      <c r="B199" s="4">
        <v>45899.0</v>
      </c>
      <c r="C199" s="3" t="s">
        <v>216</v>
      </c>
      <c r="D199" s="3" t="s">
        <v>17</v>
      </c>
      <c r="E199" s="3">
        <v>57.0</v>
      </c>
      <c r="F199" s="3" t="s">
        <v>11</v>
      </c>
      <c r="G199" s="3">
        <v>5.0</v>
      </c>
      <c r="H199" s="3">
        <v>210.0</v>
      </c>
      <c r="I199" s="3">
        <v>1050.0</v>
      </c>
      <c r="J199" s="2"/>
      <c r="K199" s="2"/>
    </row>
    <row r="200">
      <c r="A200" s="3">
        <v>199.0</v>
      </c>
      <c r="B200" s="4">
        <v>45771.0</v>
      </c>
      <c r="C200" s="3" t="s">
        <v>217</v>
      </c>
      <c r="D200" s="3" t="s">
        <v>17</v>
      </c>
      <c r="E200" s="3">
        <v>59.0</v>
      </c>
      <c r="F200" s="3" t="s">
        <v>11</v>
      </c>
      <c r="G200" s="3">
        <v>4.0</v>
      </c>
      <c r="H200" s="3">
        <v>215.0</v>
      </c>
      <c r="I200" s="3">
        <v>860.0</v>
      </c>
      <c r="J200" s="2"/>
      <c r="K200" s="2"/>
    </row>
    <row r="201">
      <c r="A201" s="3">
        <v>200.0</v>
      </c>
      <c r="B201" s="4">
        <v>45867.0</v>
      </c>
      <c r="C201" s="3" t="s">
        <v>218</v>
      </c>
      <c r="D201" s="3" t="s">
        <v>10</v>
      </c>
      <c r="E201" s="3">
        <v>37.0</v>
      </c>
      <c r="F201" s="3" t="s">
        <v>11</v>
      </c>
      <c r="G201" s="3">
        <v>1.0</v>
      </c>
      <c r="H201" s="3">
        <v>55.0</v>
      </c>
      <c r="I201" s="3">
        <v>55.0</v>
      </c>
      <c r="J201" s="2"/>
      <c r="K201" s="2"/>
    </row>
    <row r="202">
      <c r="A202" s="3">
        <v>201.0</v>
      </c>
      <c r="B202" s="4">
        <v>45910.0</v>
      </c>
      <c r="C202" s="3" t="s">
        <v>219</v>
      </c>
      <c r="D202" s="3" t="s">
        <v>10</v>
      </c>
      <c r="E202" s="3">
        <v>42.0</v>
      </c>
      <c r="F202" s="3" t="s">
        <v>11</v>
      </c>
      <c r="G202" s="3">
        <v>2.0</v>
      </c>
      <c r="H202" s="3">
        <v>45.0</v>
      </c>
      <c r="I202" s="3">
        <v>90.0</v>
      </c>
      <c r="J202" s="2"/>
      <c r="K202" s="2"/>
    </row>
    <row r="203">
      <c r="A203" s="3">
        <v>202.0</v>
      </c>
      <c r="B203" s="4">
        <v>45890.0</v>
      </c>
      <c r="C203" s="3" t="s">
        <v>220</v>
      </c>
      <c r="D203" s="3" t="s">
        <v>10</v>
      </c>
      <c r="E203" s="3">
        <v>44.0</v>
      </c>
      <c r="F203" s="3" t="s">
        <v>22</v>
      </c>
      <c r="G203" s="3">
        <v>4.0</v>
      </c>
      <c r="H203" s="3">
        <v>1480.0</v>
      </c>
      <c r="I203" s="3">
        <v>5920.0</v>
      </c>
      <c r="J203" s="2"/>
      <c r="K203" s="2"/>
    </row>
    <row r="204">
      <c r="A204" s="3">
        <v>203.0</v>
      </c>
      <c r="B204" s="4">
        <v>45993.0</v>
      </c>
      <c r="C204" s="3" t="s">
        <v>221</v>
      </c>
      <c r="D204" s="3" t="s">
        <v>17</v>
      </c>
      <c r="E204" s="3">
        <v>35.0</v>
      </c>
      <c r="F204" s="3" t="s">
        <v>11</v>
      </c>
      <c r="G204" s="3">
        <v>5.0</v>
      </c>
      <c r="H204" s="3">
        <v>170.0</v>
      </c>
      <c r="I204" s="3">
        <v>850.0</v>
      </c>
      <c r="J204" s="2"/>
      <c r="K204" s="2"/>
    </row>
    <row r="205">
      <c r="A205" s="3">
        <v>204.0</v>
      </c>
      <c r="B205" s="4">
        <v>45674.0</v>
      </c>
      <c r="C205" s="3" t="s">
        <v>222</v>
      </c>
      <c r="D205" s="3" t="s">
        <v>17</v>
      </c>
      <c r="E205" s="3">
        <v>33.0</v>
      </c>
      <c r="F205" s="3" t="s">
        <v>22</v>
      </c>
      <c r="G205" s="3">
        <v>4.0</v>
      </c>
      <c r="H205" s="3">
        <v>655.0</v>
      </c>
      <c r="I205" s="3">
        <v>2620.0</v>
      </c>
      <c r="J205" s="2"/>
      <c r="K205" s="2"/>
    </row>
    <row r="206">
      <c r="A206" s="3">
        <v>205.0</v>
      </c>
      <c r="B206" s="4">
        <v>45843.0</v>
      </c>
      <c r="C206" s="3" t="s">
        <v>223</v>
      </c>
      <c r="D206" s="3" t="s">
        <v>17</v>
      </c>
      <c r="E206" s="3">
        <v>21.0</v>
      </c>
      <c r="F206" s="3" t="s">
        <v>11</v>
      </c>
      <c r="G206" s="3">
        <v>3.0</v>
      </c>
      <c r="H206" s="3">
        <v>230.0</v>
      </c>
      <c r="I206" s="3">
        <v>690.0</v>
      </c>
      <c r="J206" s="2"/>
      <c r="K206" s="2"/>
    </row>
    <row r="207">
      <c r="A207" s="3">
        <v>206.0</v>
      </c>
      <c r="B207" s="4">
        <v>45861.0</v>
      </c>
      <c r="C207" s="3" t="s">
        <v>224</v>
      </c>
      <c r="D207" s="3" t="s">
        <v>17</v>
      </c>
      <c r="E207" s="3">
        <v>23.0</v>
      </c>
      <c r="F207" s="3" t="s">
        <v>22</v>
      </c>
      <c r="G207" s="3">
        <v>1.0</v>
      </c>
      <c r="H207" s="3">
        <v>585.0</v>
      </c>
      <c r="I207" s="3">
        <v>585.0</v>
      </c>
      <c r="J207" s="2"/>
      <c r="K207" s="2"/>
    </row>
    <row r="208">
      <c r="A208" s="3">
        <v>207.0</v>
      </c>
      <c r="B208" s="4">
        <v>45997.0</v>
      </c>
      <c r="C208" s="3" t="s">
        <v>225</v>
      </c>
      <c r="D208" s="3" t="s">
        <v>17</v>
      </c>
      <c r="E208" s="3">
        <v>33.0</v>
      </c>
      <c r="F208" s="3" t="s">
        <v>20</v>
      </c>
      <c r="G208" s="3">
        <v>1.0</v>
      </c>
      <c r="H208" s="3">
        <v>25.0</v>
      </c>
      <c r="I208" s="3">
        <v>25.0</v>
      </c>
      <c r="J208" s="2"/>
      <c r="K208" s="2"/>
    </row>
    <row r="209">
      <c r="A209" s="3">
        <v>208.0</v>
      </c>
      <c r="B209" s="4">
        <v>45722.0</v>
      </c>
      <c r="C209" s="3" t="s">
        <v>226</v>
      </c>
      <c r="D209" s="3" t="s">
        <v>10</v>
      </c>
      <c r="E209" s="3">
        <v>55.0</v>
      </c>
      <c r="F209" s="3" t="s">
        <v>15</v>
      </c>
      <c r="G209" s="3">
        <v>1.0</v>
      </c>
      <c r="H209" s="3">
        <v>155.0</v>
      </c>
      <c r="I209" s="3">
        <v>155.0</v>
      </c>
      <c r="J209" s="2"/>
      <c r="K209" s="2"/>
    </row>
    <row r="210">
      <c r="A210" s="3">
        <v>209.0</v>
      </c>
      <c r="B210" s="4">
        <v>45768.0</v>
      </c>
      <c r="C210" s="3" t="s">
        <v>227</v>
      </c>
      <c r="D210" s="3" t="s">
        <v>10</v>
      </c>
      <c r="E210" s="3">
        <v>35.0</v>
      </c>
      <c r="F210" s="3" t="s">
        <v>20</v>
      </c>
      <c r="G210" s="3">
        <v>2.0</v>
      </c>
      <c r="H210" s="3">
        <v>125.0</v>
      </c>
      <c r="I210" s="3">
        <v>250.0</v>
      </c>
      <c r="J210" s="2"/>
      <c r="K210" s="2"/>
    </row>
    <row r="211">
      <c r="A211" s="3">
        <v>210.0</v>
      </c>
      <c r="B211" s="4">
        <v>45732.0</v>
      </c>
      <c r="C211" s="3" t="s">
        <v>228</v>
      </c>
      <c r="D211" s="3" t="s">
        <v>10</v>
      </c>
      <c r="E211" s="3">
        <v>60.0</v>
      </c>
      <c r="F211" s="3" t="s">
        <v>20</v>
      </c>
      <c r="G211" s="3">
        <v>2.0</v>
      </c>
      <c r="H211" s="3">
        <v>100.0</v>
      </c>
      <c r="I211" s="3">
        <v>200.0</v>
      </c>
      <c r="J211" s="2"/>
      <c r="K211" s="2"/>
    </row>
    <row r="212">
      <c r="A212" s="3">
        <v>211.0</v>
      </c>
      <c r="B212" s="4">
        <v>45671.0</v>
      </c>
      <c r="C212" s="3" t="s">
        <v>229</v>
      </c>
      <c r="D212" s="3" t="s">
        <v>10</v>
      </c>
      <c r="E212" s="3">
        <v>55.0</v>
      </c>
      <c r="F212" s="3" t="s">
        <v>20</v>
      </c>
      <c r="G212" s="3">
        <v>3.0</v>
      </c>
      <c r="H212" s="3">
        <v>20.0</v>
      </c>
      <c r="I212" s="3">
        <v>60.0</v>
      </c>
      <c r="J212" s="2"/>
      <c r="K212" s="2"/>
    </row>
    <row r="213">
      <c r="A213" s="3">
        <v>212.0</v>
      </c>
      <c r="B213" s="4">
        <v>45823.0</v>
      </c>
      <c r="C213" s="3" t="s">
        <v>230</v>
      </c>
      <c r="D213" s="3" t="s">
        <v>10</v>
      </c>
      <c r="E213" s="3">
        <v>26.0</v>
      </c>
      <c r="F213" s="3" t="s">
        <v>11</v>
      </c>
      <c r="G213" s="3">
        <v>3.0</v>
      </c>
      <c r="H213" s="3">
        <v>70.0</v>
      </c>
      <c r="I213" s="3">
        <v>210.0</v>
      </c>
      <c r="J213" s="2"/>
      <c r="K213" s="2"/>
    </row>
    <row r="214">
      <c r="A214" s="3">
        <v>213.0</v>
      </c>
      <c r="B214" s="4">
        <v>45873.0</v>
      </c>
      <c r="C214" s="3" t="s">
        <v>231</v>
      </c>
      <c r="D214" s="3" t="s">
        <v>17</v>
      </c>
      <c r="E214" s="3">
        <v>46.0</v>
      </c>
      <c r="F214" s="3" t="s">
        <v>15</v>
      </c>
      <c r="G214" s="3">
        <v>1.0</v>
      </c>
      <c r="H214" s="3">
        <v>95.0</v>
      </c>
      <c r="I214" s="3">
        <v>95.0</v>
      </c>
      <c r="J214" s="2"/>
      <c r="K214" s="2"/>
    </row>
    <row r="215">
      <c r="A215" s="3">
        <v>214.0</v>
      </c>
      <c r="B215" s="4">
        <v>45843.0</v>
      </c>
      <c r="C215" s="3" t="s">
        <v>232</v>
      </c>
      <c r="D215" s="3" t="s">
        <v>17</v>
      </c>
      <c r="E215" s="3">
        <v>50.0</v>
      </c>
      <c r="F215" s="3" t="s">
        <v>15</v>
      </c>
      <c r="G215" s="3">
        <v>1.0</v>
      </c>
      <c r="H215" s="3">
        <v>400.0</v>
      </c>
      <c r="I215" s="3">
        <v>400.0</v>
      </c>
      <c r="J215" s="2"/>
      <c r="K215" s="2"/>
    </row>
    <row r="216">
      <c r="A216" s="3">
        <v>215.0</v>
      </c>
      <c r="B216" s="4">
        <v>45771.0</v>
      </c>
      <c r="C216" s="3" t="s">
        <v>233</v>
      </c>
      <c r="D216" s="3" t="s">
        <v>17</v>
      </c>
      <c r="E216" s="3">
        <v>47.0</v>
      </c>
      <c r="F216" s="3" t="s">
        <v>15</v>
      </c>
      <c r="G216" s="3">
        <v>5.0</v>
      </c>
      <c r="H216" s="3">
        <v>50.0</v>
      </c>
      <c r="I216" s="3">
        <v>250.0</v>
      </c>
      <c r="J216" s="2"/>
      <c r="K216" s="2"/>
    </row>
    <row r="217">
      <c r="A217" s="3">
        <v>216.0</v>
      </c>
      <c r="B217" s="4">
        <v>45987.0</v>
      </c>
      <c r="C217" s="3" t="s">
        <v>234</v>
      </c>
      <c r="D217" s="3" t="s">
        <v>17</v>
      </c>
      <c r="E217" s="3">
        <v>45.0</v>
      </c>
      <c r="F217" s="3" t="s">
        <v>11</v>
      </c>
      <c r="G217" s="3">
        <v>4.0</v>
      </c>
      <c r="H217" s="3">
        <v>30.0</v>
      </c>
      <c r="I217" s="3">
        <v>120.0</v>
      </c>
      <c r="J217" s="2"/>
      <c r="K217" s="2"/>
    </row>
    <row r="218">
      <c r="A218" s="3">
        <v>217.0</v>
      </c>
      <c r="B218" s="4">
        <v>46009.0</v>
      </c>
      <c r="C218" s="3" t="s">
        <v>235</v>
      </c>
      <c r="D218" s="3" t="s">
        <v>10</v>
      </c>
      <c r="E218" s="3">
        <v>23.0</v>
      </c>
      <c r="F218" s="3" t="s">
        <v>11</v>
      </c>
      <c r="G218" s="3">
        <v>4.0</v>
      </c>
      <c r="H218" s="3">
        <v>170.0</v>
      </c>
      <c r="I218" s="3">
        <v>680.0</v>
      </c>
      <c r="J218" s="2"/>
      <c r="K218" s="2"/>
    </row>
    <row r="219">
      <c r="A219" s="3">
        <v>218.0</v>
      </c>
      <c r="B219" s="4">
        <v>45822.0</v>
      </c>
      <c r="C219" s="3" t="s">
        <v>236</v>
      </c>
      <c r="D219" s="3" t="s">
        <v>10</v>
      </c>
      <c r="E219" s="3">
        <v>35.0</v>
      </c>
      <c r="F219" s="3" t="s">
        <v>15</v>
      </c>
      <c r="G219" s="3">
        <v>1.0</v>
      </c>
      <c r="H219" s="3">
        <v>115.0</v>
      </c>
      <c r="I219" s="3">
        <v>115.0</v>
      </c>
      <c r="J219" s="2"/>
      <c r="K219" s="2"/>
    </row>
    <row r="220">
      <c r="A220" s="3">
        <v>219.0</v>
      </c>
      <c r="B220" s="4">
        <v>45977.0</v>
      </c>
      <c r="C220" s="3" t="s">
        <v>237</v>
      </c>
      <c r="D220" s="3" t="s">
        <v>17</v>
      </c>
      <c r="E220" s="3">
        <v>56.0</v>
      </c>
      <c r="F220" s="3" t="s">
        <v>15</v>
      </c>
      <c r="G220" s="3">
        <v>3.0</v>
      </c>
      <c r="H220" s="3">
        <v>375.0</v>
      </c>
      <c r="I220" s="3">
        <v>1125.0</v>
      </c>
      <c r="J220" s="2"/>
      <c r="K220" s="2"/>
    </row>
    <row r="221">
      <c r="A221" s="3">
        <v>220.0</v>
      </c>
      <c r="B221" s="4">
        <v>45929.0</v>
      </c>
      <c r="C221" s="3" t="s">
        <v>238</v>
      </c>
      <c r="D221" s="3" t="s">
        <v>17</v>
      </c>
      <c r="E221" s="3">
        <v>24.0</v>
      </c>
      <c r="F221" s="3" t="s">
        <v>22</v>
      </c>
      <c r="G221" s="3">
        <v>5.0</v>
      </c>
      <c r="H221" s="3">
        <v>1260.0</v>
      </c>
      <c r="I221" s="3">
        <v>6300.0</v>
      </c>
      <c r="J221" s="2"/>
      <c r="K221" s="2"/>
    </row>
    <row r="222">
      <c r="A222" s="3">
        <v>221.0</v>
      </c>
      <c r="B222" s="4">
        <v>46017.0</v>
      </c>
      <c r="C222" s="3" t="s">
        <v>239</v>
      </c>
      <c r="D222" s="3" t="s">
        <v>10</v>
      </c>
      <c r="E222" s="3">
        <v>45.0</v>
      </c>
      <c r="F222" s="3" t="s">
        <v>11</v>
      </c>
      <c r="G222" s="3">
        <v>5.0</v>
      </c>
      <c r="H222" s="3">
        <v>220.0</v>
      </c>
      <c r="I222" s="3">
        <v>1100.0</v>
      </c>
      <c r="J222" s="2"/>
      <c r="K222" s="2"/>
    </row>
    <row r="223">
      <c r="A223" s="3">
        <v>222.0</v>
      </c>
      <c r="B223" s="4">
        <v>45889.0</v>
      </c>
      <c r="C223" s="3" t="s">
        <v>240</v>
      </c>
      <c r="D223" s="3" t="s">
        <v>17</v>
      </c>
      <c r="E223" s="3">
        <v>43.0</v>
      </c>
      <c r="F223" s="3" t="s">
        <v>20</v>
      </c>
      <c r="G223" s="3">
        <v>3.0</v>
      </c>
      <c r="H223" s="3">
        <v>150.0</v>
      </c>
      <c r="I223" s="3">
        <v>450.0</v>
      </c>
      <c r="J223" s="2"/>
      <c r="K223" s="2"/>
    </row>
    <row r="224">
      <c r="A224" s="3">
        <v>223.0</v>
      </c>
      <c r="B224" s="4">
        <v>45870.0</v>
      </c>
      <c r="C224" s="3" t="s">
        <v>241</v>
      </c>
      <c r="D224" s="3" t="s">
        <v>17</v>
      </c>
      <c r="E224" s="3">
        <v>60.0</v>
      </c>
      <c r="F224" s="3" t="s">
        <v>11</v>
      </c>
      <c r="G224" s="3">
        <v>4.0</v>
      </c>
      <c r="H224" s="3">
        <v>115.0</v>
      </c>
      <c r="I224" s="3">
        <v>460.0</v>
      </c>
      <c r="J224" s="2"/>
      <c r="K224" s="2"/>
    </row>
    <row r="225">
      <c r="A225" s="3">
        <v>224.0</v>
      </c>
      <c r="B225" s="4">
        <v>45788.0</v>
      </c>
      <c r="C225" s="3" t="s">
        <v>242</v>
      </c>
      <c r="D225" s="3" t="s">
        <v>10</v>
      </c>
      <c r="E225" s="3">
        <v>23.0</v>
      </c>
      <c r="F225" s="3" t="s">
        <v>22</v>
      </c>
      <c r="G225" s="3">
        <v>4.0</v>
      </c>
      <c r="H225" s="3">
        <v>490.0</v>
      </c>
      <c r="I225" s="3">
        <v>1960.0</v>
      </c>
      <c r="J225" s="2"/>
      <c r="K225" s="2"/>
    </row>
    <row r="226">
      <c r="A226" s="3">
        <v>225.0</v>
      </c>
      <c r="B226" s="4">
        <v>45701.0</v>
      </c>
      <c r="C226" s="3" t="s">
        <v>243</v>
      </c>
      <c r="D226" s="3" t="s">
        <v>17</v>
      </c>
      <c r="E226" s="3">
        <v>26.0</v>
      </c>
      <c r="F226" s="3" t="s">
        <v>11</v>
      </c>
      <c r="G226" s="3">
        <v>1.0</v>
      </c>
      <c r="H226" s="3">
        <v>150.0</v>
      </c>
      <c r="I226" s="3">
        <v>150.0</v>
      </c>
      <c r="J226" s="2"/>
      <c r="K226" s="2"/>
    </row>
    <row r="227">
      <c r="A227" s="3">
        <v>226.0</v>
      </c>
      <c r="B227" s="4">
        <v>45942.0</v>
      </c>
      <c r="C227" s="3" t="s">
        <v>244</v>
      </c>
      <c r="D227" s="3" t="s">
        <v>17</v>
      </c>
      <c r="E227" s="3">
        <v>60.0</v>
      </c>
      <c r="F227" s="3" t="s">
        <v>11</v>
      </c>
      <c r="G227" s="3">
        <v>5.0</v>
      </c>
      <c r="H227" s="3">
        <v>200.0</v>
      </c>
      <c r="I227" s="3">
        <v>1000.0</v>
      </c>
      <c r="J227" s="2"/>
      <c r="K227" s="2"/>
    </row>
    <row r="228">
      <c r="A228" s="3">
        <v>227.0</v>
      </c>
      <c r="B228" s="4">
        <v>45720.0</v>
      </c>
      <c r="C228" s="3" t="s">
        <v>245</v>
      </c>
      <c r="D228" s="3" t="s">
        <v>10</v>
      </c>
      <c r="E228" s="3">
        <v>36.0</v>
      </c>
      <c r="F228" s="3" t="s">
        <v>54</v>
      </c>
      <c r="G228" s="3">
        <v>4.0</v>
      </c>
      <c r="H228" s="3">
        <v>60.0</v>
      </c>
      <c r="I228" s="3">
        <v>240.0</v>
      </c>
      <c r="J228" s="2"/>
      <c r="K228" s="2"/>
    </row>
    <row r="229">
      <c r="A229" s="3">
        <v>228.0</v>
      </c>
      <c r="B229" s="4">
        <v>45965.0</v>
      </c>
      <c r="C229" s="3" t="s">
        <v>246</v>
      </c>
      <c r="D229" s="3" t="s">
        <v>10</v>
      </c>
      <c r="E229" s="3">
        <v>27.0</v>
      </c>
      <c r="F229" s="3" t="s">
        <v>22</v>
      </c>
      <c r="G229" s="3">
        <v>1.0</v>
      </c>
      <c r="H229" s="3">
        <v>1000.0</v>
      </c>
      <c r="I229" s="3">
        <v>1000.0</v>
      </c>
      <c r="J229" s="2"/>
      <c r="K229" s="2"/>
    </row>
    <row r="230">
      <c r="A230" s="3">
        <v>229.0</v>
      </c>
      <c r="B230" s="4">
        <v>45994.0</v>
      </c>
      <c r="C230" s="3" t="s">
        <v>247</v>
      </c>
      <c r="D230" s="3" t="s">
        <v>17</v>
      </c>
      <c r="E230" s="3">
        <v>53.0</v>
      </c>
      <c r="F230" s="3" t="s">
        <v>54</v>
      </c>
      <c r="G230" s="3">
        <v>1.0</v>
      </c>
      <c r="H230" s="3">
        <v>40.0</v>
      </c>
      <c r="I230" s="3">
        <v>40.0</v>
      </c>
      <c r="J230" s="2"/>
      <c r="K230" s="2"/>
    </row>
    <row r="231">
      <c r="A231" s="3">
        <v>230.0</v>
      </c>
      <c r="B231" s="4">
        <v>45846.0</v>
      </c>
      <c r="C231" s="3" t="s">
        <v>248</v>
      </c>
      <c r="D231" s="3" t="s">
        <v>10</v>
      </c>
      <c r="E231" s="3">
        <v>45.0</v>
      </c>
      <c r="F231" s="3" t="s">
        <v>11</v>
      </c>
      <c r="G231" s="3">
        <v>5.0</v>
      </c>
      <c r="H231" s="3">
        <v>100.0</v>
      </c>
      <c r="I231" s="3">
        <v>500.0</v>
      </c>
      <c r="J231" s="2"/>
      <c r="K231" s="2"/>
    </row>
    <row r="232">
      <c r="A232" s="3">
        <v>231.0</v>
      </c>
      <c r="B232" s="4">
        <v>45945.0</v>
      </c>
      <c r="C232" s="3" t="s">
        <v>249</v>
      </c>
      <c r="D232" s="3" t="s">
        <v>10</v>
      </c>
      <c r="E232" s="3">
        <v>56.0</v>
      </c>
      <c r="F232" s="3" t="s">
        <v>15</v>
      </c>
      <c r="G232" s="3">
        <v>5.0</v>
      </c>
      <c r="H232" s="3">
        <v>415.0</v>
      </c>
      <c r="I232" s="3">
        <v>2075.0</v>
      </c>
      <c r="J232" s="2"/>
      <c r="K232" s="2"/>
    </row>
    <row r="233">
      <c r="A233" s="3">
        <v>232.0</v>
      </c>
      <c r="B233" s="4">
        <v>45994.0</v>
      </c>
      <c r="C233" s="3" t="s">
        <v>250</v>
      </c>
      <c r="D233" s="3" t="s">
        <v>17</v>
      </c>
      <c r="E233" s="3">
        <v>37.0</v>
      </c>
      <c r="F233" s="3" t="s">
        <v>22</v>
      </c>
      <c r="G233" s="3">
        <v>2.0</v>
      </c>
      <c r="H233" s="3">
        <v>170.0</v>
      </c>
      <c r="I233" s="3">
        <v>340.0</v>
      </c>
      <c r="J233" s="2"/>
      <c r="K233" s="2"/>
    </row>
    <row r="234">
      <c r="A234" s="3">
        <v>233.0</v>
      </c>
      <c r="B234" s="4">
        <v>45831.0</v>
      </c>
      <c r="C234" s="3" t="s">
        <v>251</v>
      </c>
      <c r="D234" s="3" t="s">
        <v>10</v>
      </c>
      <c r="E234" s="3">
        <v>54.0</v>
      </c>
      <c r="F234" s="3" t="s">
        <v>22</v>
      </c>
      <c r="G234" s="3">
        <v>2.0</v>
      </c>
      <c r="H234" s="3">
        <v>115.0</v>
      </c>
      <c r="I234" s="3">
        <v>230.0</v>
      </c>
      <c r="J234" s="2"/>
      <c r="K234" s="2"/>
    </row>
    <row r="235">
      <c r="A235" s="3">
        <v>234.0</v>
      </c>
      <c r="B235" s="4">
        <v>45994.0</v>
      </c>
      <c r="C235" s="3" t="s">
        <v>252</v>
      </c>
      <c r="D235" s="3" t="s">
        <v>10</v>
      </c>
      <c r="E235" s="3">
        <v>23.0</v>
      </c>
      <c r="F235" s="3" t="s">
        <v>54</v>
      </c>
      <c r="G235" s="3">
        <v>2.0</v>
      </c>
      <c r="H235" s="3">
        <v>15.0</v>
      </c>
      <c r="I235" s="3">
        <v>30.0</v>
      </c>
      <c r="J235" s="2"/>
      <c r="K235" s="2"/>
    </row>
    <row r="236">
      <c r="A236" s="3">
        <v>235.0</v>
      </c>
      <c r="B236" s="4">
        <v>45929.0</v>
      </c>
      <c r="C236" s="3" t="s">
        <v>253</v>
      </c>
      <c r="D236" s="3" t="s">
        <v>17</v>
      </c>
      <c r="E236" s="3">
        <v>39.0</v>
      </c>
      <c r="F236" s="3" t="s">
        <v>20</v>
      </c>
      <c r="G236" s="3">
        <v>4.0</v>
      </c>
      <c r="H236" s="3">
        <v>140.0</v>
      </c>
      <c r="I236" s="3">
        <v>560.0</v>
      </c>
      <c r="J236" s="2"/>
      <c r="K236" s="2"/>
    </row>
    <row r="237">
      <c r="A237" s="3">
        <v>236.0</v>
      </c>
      <c r="B237" s="4">
        <v>45738.0</v>
      </c>
      <c r="C237" s="3" t="s">
        <v>254</v>
      </c>
      <c r="D237" s="3" t="s">
        <v>10</v>
      </c>
      <c r="E237" s="3">
        <v>21.0</v>
      </c>
      <c r="F237" s="3" t="s">
        <v>22</v>
      </c>
      <c r="G237" s="3">
        <v>3.0</v>
      </c>
      <c r="H237" s="3">
        <v>895.0</v>
      </c>
      <c r="I237" s="3">
        <v>2685.0</v>
      </c>
      <c r="J237" s="2"/>
      <c r="K237" s="2"/>
    </row>
    <row r="238">
      <c r="A238" s="3">
        <v>237.0</v>
      </c>
      <c r="B238" s="4">
        <v>45737.0</v>
      </c>
      <c r="C238" s="3" t="s">
        <v>255</v>
      </c>
      <c r="D238" s="3" t="s">
        <v>17</v>
      </c>
      <c r="E238" s="3">
        <v>46.0</v>
      </c>
      <c r="F238" s="3" t="s">
        <v>20</v>
      </c>
      <c r="G238" s="3">
        <v>1.0</v>
      </c>
      <c r="H238" s="3">
        <v>35.0</v>
      </c>
      <c r="I238" s="3">
        <v>35.0</v>
      </c>
      <c r="J238" s="2"/>
      <c r="K238" s="2"/>
    </row>
    <row r="239">
      <c r="A239" s="3">
        <v>238.0</v>
      </c>
      <c r="B239" s="4">
        <v>45996.0</v>
      </c>
      <c r="C239" s="3" t="s">
        <v>256</v>
      </c>
      <c r="D239" s="3" t="s">
        <v>17</v>
      </c>
      <c r="E239" s="3">
        <v>44.0</v>
      </c>
      <c r="F239" s="3" t="s">
        <v>54</v>
      </c>
      <c r="G239" s="3">
        <v>5.0</v>
      </c>
      <c r="H239" s="3">
        <v>80.0</v>
      </c>
      <c r="I239" s="3">
        <v>400.0</v>
      </c>
      <c r="J239" s="2"/>
      <c r="K239" s="2"/>
    </row>
    <row r="240">
      <c r="A240" s="3">
        <v>239.0</v>
      </c>
      <c r="B240" s="4">
        <v>45797.0</v>
      </c>
      <c r="C240" s="3" t="s">
        <v>257</v>
      </c>
      <c r="D240" s="3" t="s">
        <v>17</v>
      </c>
      <c r="E240" s="3">
        <v>45.0</v>
      </c>
      <c r="F240" s="3" t="s">
        <v>20</v>
      </c>
      <c r="G240" s="3">
        <v>1.0</v>
      </c>
      <c r="H240" s="3">
        <v>180.0</v>
      </c>
      <c r="I240" s="3">
        <v>180.0</v>
      </c>
      <c r="J240" s="2"/>
      <c r="K240" s="2"/>
    </row>
    <row r="241">
      <c r="A241" s="3">
        <v>240.0</v>
      </c>
      <c r="B241" s="4">
        <v>45714.0</v>
      </c>
      <c r="C241" s="3" t="s">
        <v>258</v>
      </c>
      <c r="D241" s="3" t="s">
        <v>17</v>
      </c>
      <c r="E241" s="3">
        <v>20.0</v>
      </c>
      <c r="F241" s="3" t="s">
        <v>22</v>
      </c>
      <c r="G241" s="3">
        <v>5.0</v>
      </c>
      <c r="H241" s="3">
        <v>1345.0</v>
      </c>
      <c r="I241" s="3">
        <v>6725.0</v>
      </c>
      <c r="J241" s="2"/>
      <c r="K241" s="2"/>
    </row>
    <row r="242">
      <c r="A242" s="3">
        <v>241.0</v>
      </c>
      <c r="B242" s="4">
        <v>45770.0</v>
      </c>
      <c r="C242" s="3" t="s">
        <v>259</v>
      </c>
      <c r="D242" s="3" t="s">
        <v>10</v>
      </c>
      <c r="E242" s="3">
        <v>31.0</v>
      </c>
      <c r="F242" s="3" t="s">
        <v>54</v>
      </c>
      <c r="G242" s="3">
        <v>1.0</v>
      </c>
      <c r="H242" s="3">
        <v>100.0</v>
      </c>
      <c r="I242" s="3">
        <v>100.0</v>
      </c>
      <c r="J242" s="2"/>
      <c r="K242" s="2"/>
    </row>
    <row r="243">
      <c r="A243" s="3">
        <v>242.0</v>
      </c>
      <c r="B243" s="4">
        <v>45812.0</v>
      </c>
      <c r="C243" s="3" t="s">
        <v>260</v>
      </c>
      <c r="D243" s="3" t="s">
        <v>17</v>
      </c>
      <c r="E243" s="3">
        <v>38.0</v>
      </c>
      <c r="F243" s="3" t="s">
        <v>20</v>
      </c>
      <c r="G243" s="3">
        <v>3.0</v>
      </c>
      <c r="H243" s="3">
        <v>60.0</v>
      </c>
      <c r="I243" s="3">
        <v>180.0</v>
      </c>
      <c r="J243" s="2"/>
      <c r="K243" s="2"/>
    </row>
    <row r="244">
      <c r="A244" s="3">
        <v>243.0</v>
      </c>
      <c r="B244" s="4">
        <v>45719.0</v>
      </c>
      <c r="C244" s="3" t="s">
        <v>261</v>
      </c>
      <c r="D244" s="3" t="s">
        <v>10</v>
      </c>
      <c r="E244" s="3">
        <v>26.0</v>
      </c>
      <c r="F244" s="3" t="s">
        <v>11</v>
      </c>
      <c r="G244" s="3">
        <v>4.0</v>
      </c>
      <c r="H244" s="3">
        <v>170.0</v>
      </c>
      <c r="I244" s="3">
        <v>680.0</v>
      </c>
      <c r="J244" s="2"/>
      <c r="K244" s="2"/>
    </row>
    <row r="245">
      <c r="A245" s="3">
        <v>244.0</v>
      </c>
      <c r="B245" s="4">
        <v>45852.0</v>
      </c>
      <c r="C245" s="3" t="s">
        <v>262</v>
      </c>
      <c r="D245" s="3" t="s">
        <v>17</v>
      </c>
      <c r="E245" s="3">
        <v>22.0</v>
      </c>
      <c r="F245" s="3" t="s">
        <v>15</v>
      </c>
      <c r="G245" s="3">
        <v>2.0</v>
      </c>
      <c r="H245" s="3">
        <v>475.0</v>
      </c>
      <c r="I245" s="3">
        <v>950.0</v>
      </c>
      <c r="J245" s="2"/>
      <c r="K245" s="2"/>
    </row>
    <row r="246">
      <c r="A246" s="3">
        <v>245.0</v>
      </c>
      <c r="B246" s="4">
        <v>45861.0</v>
      </c>
      <c r="C246" s="3" t="s">
        <v>263</v>
      </c>
      <c r="D246" s="3" t="s">
        <v>17</v>
      </c>
      <c r="E246" s="3">
        <v>22.0</v>
      </c>
      <c r="F246" s="3" t="s">
        <v>11</v>
      </c>
      <c r="G246" s="3">
        <v>1.0</v>
      </c>
      <c r="H246" s="3">
        <v>150.0</v>
      </c>
      <c r="I246" s="3">
        <v>150.0</v>
      </c>
      <c r="J246" s="2"/>
      <c r="K246" s="2"/>
    </row>
    <row r="247">
      <c r="A247" s="3">
        <v>246.0</v>
      </c>
      <c r="B247" s="4">
        <v>45818.0</v>
      </c>
      <c r="C247" s="3" t="s">
        <v>264</v>
      </c>
      <c r="D247" s="3" t="s">
        <v>17</v>
      </c>
      <c r="E247" s="3">
        <v>58.0</v>
      </c>
      <c r="F247" s="3" t="s">
        <v>15</v>
      </c>
      <c r="G247" s="3">
        <v>5.0</v>
      </c>
      <c r="H247" s="3">
        <v>295.0</v>
      </c>
      <c r="I247" s="3">
        <v>1475.0</v>
      </c>
      <c r="J247" s="2"/>
      <c r="K247" s="2"/>
    </row>
    <row r="248">
      <c r="A248" s="3">
        <v>247.0</v>
      </c>
      <c r="B248" s="4">
        <v>45871.0</v>
      </c>
      <c r="C248" s="3" t="s">
        <v>265</v>
      </c>
      <c r="D248" s="3" t="s">
        <v>10</v>
      </c>
      <c r="E248" s="3">
        <v>38.0</v>
      </c>
      <c r="F248" s="3" t="s">
        <v>22</v>
      </c>
      <c r="G248" s="3">
        <v>4.0</v>
      </c>
      <c r="H248" s="3">
        <v>390.0</v>
      </c>
      <c r="I248" s="3">
        <v>1560.0</v>
      </c>
      <c r="J248" s="2"/>
      <c r="K248" s="2"/>
    </row>
    <row r="249">
      <c r="A249" s="3">
        <v>248.0</v>
      </c>
      <c r="B249" s="4">
        <v>45745.0</v>
      </c>
      <c r="C249" s="3" t="s">
        <v>266</v>
      </c>
      <c r="D249" s="3" t="s">
        <v>10</v>
      </c>
      <c r="E249" s="3">
        <v>45.0</v>
      </c>
      <c r="F249" s="3" t="s">
        <v>15</v>
      </c>
      <c r="G249" s="3">
        <v>3.0</v>
      </c>
      <c r="H249" s="3">
        <v>315.0</v>
      </c>
      <c r="I249" s="3">
        <v>945.0</v>
      </c>
      <c r="J249" s="2"/>
      <c r="K249" s="2"/>
    </row>
    <row r="250">
      <c r="A250" s="3">
        <v>249.0</v>
      </c>
      <c r="B250" s="4">
        <v>45712.0</v>
      </c>
      <c r="C250" s="3" t="s">
        <v>267</v>
      </c>
      <c r="D250" s="3" t="s">
        <v>17</v>
      </c>
      <c r="E250" s="3">
        <v>51.0</v>
      </c>
      <c r="F250" s="3" t="s">
        <v>20</v>
      </c>
      <c r="G250" s="3">
        <v>5.0</v>
      </c>
      <c r="H250" s="3">
        <v>155.0</v>
      </c>
      <c r="I250" s="3">
        <v>775.0</v>
      </c>
      <c r="J250" s="2"/>
      <c r="K250" s="2"/>
    </row>
    <row r="251">
      <c r="A251" s="3">
        <v>250.0</v>
      </c>
      <c r="B251" s="4">
        <v>45698.0</v>
      </c>
      <c r="C251" s="3" t="s">
        <v>268</v>
      </c>
      <c r="D251" s="3" t="s">
        <v>10</v>
      </c>
      <c r="E251" s="3">
        <v>39.0</v>
      </c>
      <c r="F251" s="3" t="s">
        <v>54</v>
      </c>
      <c r="G251" s="3">
        <v>3.0</v>
      </c>
      <c r="H251" s="3">
        <v>50.0</v>
      </c>
      <c r="I251" s="3">
        <v>150.0</v>
      </c>
      <c r="J251" s="2"/>
      <c r="K251" s="2"/>
    </row>
    <row r="252">
      <c r="A252" s="3">
        <v>251.0</v>
      </c>
      <c r="B252" s="4">
        <v>45744.0</v>
      </c>
      <c r="C252" s="3" t="s">
        <v>269</v>
      </c>
      <c r="D252" s="3" t="s">
        <v>10</v>
      </c>
      <c r="E252" s="3">
        <v>40.0</v>
      </c>
      <c r="F252" s="3" t="s">
        <v>11</v>
      </c>
      <c r="G252" s="3">
        <v>1.0</v>
      </c>
      <c r="H252" s="3">
        <v>175.0</v>
      </c>
      <c r="I252" s="3">
        <v>175.0</v>
      </c>
      <c r="J252" s="2"/>
      <c r="K252" s="2"/>
    </row>
    <row r="253">
      <c r="A253" s="3">
        <v>252.0</v>
      </c>
      <c r="B253" s="4">
        <v>45837.0</v>
      </c>
      <c r="C253" s="3" t="s">
        <v>270</v>
      </c>
      <c r="D253" s="3" t="s">
        <v>10</v>
      </c>
      <c r="E253" s="3">
        <v>34.0</v>
      </c>
      <c r="F253" s="3" t="s">
        <v>20</v>
      </c>
      <c r="G253" s="3">
        <v>1.0</v>
      </c>
      <c r="H253" s="3">
        <v>95.0</v>
      </c>
      <c r="I253" s="3">
        <v>95.0</v>
      </c>
      <c r="J253" s="2"/>
      <c r="K253" s="2"/>
    </row>
    <row r="254">
      <c r="A254" s="3">
        <v>253.0</v>
      </c>
      <c r="B254" s="4">
        <v>45759.0</v>
      </c>
      <c r="C254" s="3" t="s">
        <v>271</v>
      </c>
      <c r="D254" s="3" t="s">
        <v>10</v>
      </c>
      <c r="E254" s="3">
        <v>58.0</v>
      </c>
      <c r="F254" s="3" t="s">
        <v>20</v>
      </c>
      <c r="G254" s="3">
        <v>1.0</v>
      </c>
      <c r="H254" s="3">
        <v>65.0</v>
      </c>
      <c r="I254" s="3">
        <v>65.0</v>
      </c>
      <c r="J254" s="2"/>
      <c r="K254" s="2"/>
    </row>
    <row r="255">
      <c r="A255" s="3">
        <v>254.0</v>
      </c>
      <c r="B255" s="4">
        <v>45910.0</v>
      </c>
      <c r="C255" s="3" t="s">
        <v>272</v>
      </c>
      <c r="D255" s="3" t="s">
        <v>17</v>
      </c>
      <c r="E255" s="3">
        <v>54.0</v>
      </c>
      <c r="F255" s="3" t="s">
        <v>54</v>
      </c>
      <c r="G255" s="3">
        <v>5.0</v>
      </c>
      <c r="H255" s="3">
        <v>95.0</v>
      </c>
      <c r="I255" s="3">
        <v>475.0</v>
      </c>
      <c r="J255" s="2"/>
      <c r="K255" s="2"/>
    </row>
    <row r="256">
      <c r="A256" s="3">
        <v>255.0</v>
      </c>
      <c r="B256" s="4">
        <v>45987.0</v>
      </c>
      <c r="C256" s="3" t="s">
        <v>273</v>
      </c>
      <c r="D256" s="3" t="s">
        <v>10</v>
      </c>
      <c r="E256" s="3">
        <v>46.0</v>
      </c>
      <c r="F256" s="3" t="s">
        <v>15</v>
      </c>
      <c r="G256" s="3">
        <v>3.0</v>
      </c>
      <c r="H256" s="3">
        <v>230.0</v>
      </c>
      <c r="I256" s="3">
        <v>690.0</v>
      </c>
      <c r="J256" s="2"/>
      <c r="K256" s="2"/>
    </row>
    <row r="257">
      <c r="A257" s="3">
        <v>256.0</v>
      </c>
      <c r="B257" s="4">
        <v>45692.0</v>
      </c>
      <c r="C257" s="3" t="s">
        <v>274</v>
      </c>
      <c r="D257" s="3" t="s">
        <v>17</v>
      </c>
      <c r="E257" s="3">
        <v>55.0</v>
      </c>
      <c r="F257" s="3" t="s">
        <v>54</v>
      </c>
      <c r="G257" s="3">
        <v>3.0</v>
      </c>
      <c r="H257" s="3">
        <v>75.0</v>
      </c>
      <c r="I257" s="3">
        <v>225.0</v>
      </c>
      <c r="J257" s="2"/>
      <c r="K257" s="2"/>
    </row>
    <row r="258">
      <c r="A258" s="3">
        <v>257.0</v>
      </c>
      <c r="B258" s="4">
        <v>45686.0</v>
      </c>
      <c r="C258" s="3" t="s">
        <v>275</v>
      </c>
      <c r="D258" s="3" t="s">
        <v>17</v>
      </c>
      <c r="E258" s="3">
        <v>47.0</v>
      </c>
      <c r="F258" s="3" t="s">
        <v>22</v>
      </c>
      <c r="G258" s="3">
        <v>1.0</v>
      </c>
      <c r="H258" s="3">
        <v>1395.0</v>
      </c>
      <c r="I258" s="3">
        <v>1395.0</v>
      </c>
      <c r="J258" s="2"/>
      <c r="K258" s="2"/>
    </row>
    <row r="259">
      <c r="A259" s="3">
        <v>258.0</v>
      </c>
      <c r="B259" s="4">
        <v>45889.0</v>
      </c>
      <c r="C259" s="3" t="s">
        <v>276</v>
      </c>
      <c r="D259" s="3" t="s">
        <v>17</v>
      </c>
      <c r="E259" s="3">
        <v>22.0</v>
      </c>
      <c r="F259" s="3" t="s">
        <v>11</v>
      </c>
      <c r="G259" s="3">
        <v>3.0</v>
      </c>
      <c r="H259" s="3">
        <v>30.0</v>
      </c>
      <c r="I259" s="3">
        <v>90.0</v>
      </c>
      <c r="J259" s="2"/>
      <c r="K259" s="2"/>
    </row>
    <row r="260">
      <c r="A260" s="3">
        <v>259.0</v>
      </c>
      <c r="B260" s="4">
        <v>45988.0</v>
      </c>
      <c r="C260" s="3" t="s">
        <v>277</v>
      </c>
      <c r="D260" s="3" t="s">
        <v>17</v>
      </c>
      <c r="E260" s="3">
        <v>47.0</v>
      </c>
      <c r="F260" s="3" t="s">
        <v>11</v>
      </c>
      <c r="G260" s="3">
        <v>5.0</v>
      </c>
      <c r="H260" s="3">
        <v>210.0</v>
      </c>
      <c r="I260" s="3">
        <v>1050.0</v>
      </c>
      <c r="J260" s="2"/>
      <c r="K260" s="2"/>
    </row>
    <row r="261">
      <c r="A261" s="3">
        <v>260.0</v>
      </c>
      <c r="B261" s="4">
        <v>45955.0</v>
      </c>
      <c r="C261" s="3" t="s">
        <v>278</v>
      </c>
      <c r="D261" s="3" t="s">
        <v>17</v>
      </c>
      <c r="E261" s="3">
        <v>54.0</v>
      </c>
      <c r="F261" s="3" t="s">
        <v>15</v>
      </c>
      <c r="G261" s="3">
        <v>1.0</v>
      </c>
      <c r="H261" s="3">
        <v>495.0</v>
      </c>
      <c r="I261" s="3">
        <v>495.0</v>
      </c>
      <c r="J261" s="2"/>
      <c r="K261" s="2"/>
    </row>
    <row r="262">
      <c r="A262" s="3">
        <v>261.0</v>
      </c>
      <c r="B262" s="4">
        <v>45991.0</v>
      </c>
      <c r="C262" s="3" t="s">
        <v>279</v>
      </c>
      <c r="D262" s="3" t="s">
        <v>17</v>
      </c>
      <c r="E262" s="3">
        <v>50.0</v>
      </c>
      <c r="F262" s="3" t="s">
        <v>20</v>
      </c>
      <c r="G262" s="3">
        <v>5.0</v>
      </c>
      <c r="H262" s="3">
        <v>120.0</v>
      </c>
      <c r="I262" s="3">
        <v>600.0</v>
      </c>
      <c r="J262" s="2"/>
      <c r="K262" s="2"/>
    </row>
    <row r="263">
      <c r="A263" s="3">
        <v>262.0</v>
      </c>
      <c r="B263" s="4">
        <v>45735.0</v>
      </c>
      <c r="C263" s="3" t="s">
        <v>280</v>
      </c>
      <c r="D263" s="3" t="s">
        <v>17</v>
      </c>
      <c r="E263" s="3">
        <v>23.0</v>
      </c>
      <c r="F263" s="3" t="s">
        <v>11</v>
      </c>
      <c r="G263" s="3">
        <v>1.0</v>
      </c>
      <c r="H263" s="3">
        <v>155.0</v>
      </c>
      <c r="I263" s="3">
        <v>155.0</v>
      </c>
      <c r="J263" s="2"/>
      <c r="K263" s="2"/>
    </row>
    <row r="264">
      <c r="A264" s="3">
        <v>263.0</v>
      </c>
      <c r="B264" s="4">
        <v>45916.0</v>
      </c>
      <c r="C264" s="3" t="s">
        <v>281</v>
      </c>
      <c r="D264" s="3" t="s">
        <v>17</v>
      </c>
      <c r="E264" s="3">
        <v>46.0</v>
      </c>
      <c r="F264" s="3" t="s">
        <v>20</v>
      </c>
      <c r="G264" s="3">
        <v>2.0</v>
      </c>
      <c r="H264" s="3">
        <v>30.0</v>
      </c>
      <c r="I264" s="3">
        <v>60.0</v>
      </c>
      <c r="J264" s="2"/>
      <c r="K264" s="2"/>
    </row>
    <row r="265">
      <c r="A265" s="3">
        <v>264.0</v>
      </c>
      <c r="B265" s="4">
        <v>45926.0</v>
      </c>
      <c r="C265" s="3" t="s">
        <v>282</v>
      </c>
      <c r="D265" s="3" t="s">
        <v>17</v>
      </c>
      <c r="E265" s="3">
        <v>41.0</v>
      </c>
      <c r="F265" s="3" t="s">
        <v>15</v>
      </c>
      <c r="G265" s="3">
        <v>2.0</v>
      </c>
      <c r="H265" s="3">
        <v>415.0</v>
      </c>
      <c r="I265" s="3">
        <v>830.0</v>
      </c>
      <c r="J265" s="2"/>
      <c r="K265" s="2"/>
    </row>
    <row r="266">
      <c r="A266" s="3">
        <v>265.0</v>
      </c>
      <c r="B266" s="4">
        <v>45802.0</v>
      </c>
      <c r="C266" s="3" t="s">
        <v>283</v>
      </c>
      <c r="D266" s="3" t="s">
        <v>10</v>
      </c>
      <c r="E266" s="3">
        <v>58.0</v>
      </c>
      <c r="F266" s="3" t="s">
        <v>54</v>
      </c>
      <c r="G266" s="3">
        <v>3.0</v>
      </c>
      <c r="H266" s="3">
        <v>70.0</v>
      </c>
      <c r="I266" s="3">
        <v>210.0</v>
      </c>
      <c r="J266" s="2"/>
      <c r="K266" s="2"/>
    </row>
    <row r="267">
      <c r="A267" s="3">
        <v>266.0</v>
      </c>
      <c r="B267" s="4">
        <v>45989.0</v>
      </c>
      <c r="C267" s="3" t="s">
        <v>284</v>
      </c>
      <c r="D267" s="3" t="s">
        <v>10</v>
      </c>
      <c r="E267" s="3">
        <v>53.0</v>
      </c>
      <c r="F267" s="3" t="s">
        <v>22</v>
      </c>
      <c r="G267" s="3">
        <v>3.0</v>
      </c>
      <c r="H267" s="3">
        <v>265.0</v>
      </c>
      <c r="I267" s="3">
        <v>795.0</v>
      </c>
      <c r="J267" s="2"/>
      <c r="K267" s="2"/>
    </row>
    <row r="268">
      <c r="A268" s="3">
        <v>267.0</v>
      </c>
      <c r="B268" s="4">
        <v>46005.0</v>
      </c>
      <c r="C268" s="3" t="s">
        <v>285</v>
      </c>
      <c r="D268" s="3" t="s">
        <v>10</v>
      </c>
      <c r="E268" s="3">
        <v>39.0</v>
      </c>
      <c r="F268" s="3" t="s">
        <v>54</v>
      </c>
      <c r="G268" s="3">
        <v>3.0</v>
      </c>
      <c r="H268" s="3">
        <v>50.0</v>
      </c>
      <c r="I268" s="3">
        <v>150.0</v>
      </c>
      <c r="J268" s="2"/>
      <c r="K268" s="2"/>
    </row>
    <row r="269">
      <c r="A269" s="3">
        <v>268.0</v>
      </c>
      <c r="B269" s="4">
        <v>45699.0</v>
      </c>
      <c r="C269" s="3" t="s">
        <v>286</v>
      </c>
      <c r="D269" s="3" t="s">
        <v>17</v>
      </c>
      <c r="E269" s="3">
        <v>37.0</v>
      </c>
      <c r="F269" s="3" t="s">
        <v>15</v>
      </c>
      <c r="G269" s="3">
        <v>2.0</v>
      </c>
      <c r="H269" s="3">
        <v>445.0</v>
      </c>
      <c r="I269" s="3">
        <v>890.0</v>
      </c>
      <c r="J269" s="2"/>
      <c r="K269" s="2"/>
    </row>
    <row r="270">
      <c r="A270" s="3">
        <v>269.0</v>
      </c>
      <c r="B270" s="4">
        <v>45993.0</v>
      </c>
      <c r="C270" s="3" t="s">
        <v>287</v>
      </c>
      <c r="D270" s="3" t="s">
        <v>10</v>
      </c>
      <c r="E270" s="3">
        <v>37.0</v>
      </c>
      <c r="F270" s="3" t="s">
        <v>54</v>
      </c>
      <c r="G270" s="3">
        <v>5.0</v>
      </c>
      <c r="H270" s="3">
        <v>25.0</v>
      </c>
      <c r="I270" s="3">
        <v>125.0</v>
      </c>
      <c r="J270" s="2"/>
      <c r="K270" s="2"/>
    </row>
    <row r="271">
      <c r="A271" s="3">
        <v>270.0</v>
      </c>
      <c r="B271" s="4">
        <v>45944.0</v>
      </c>
      <c r="C271" s="3" t="s">
        <v>288</v>
      </c>
      <c r="D271" s="3" t="s">
        <v>10</v>
      </c>
      <c r="E271" s="3">
        <v>60.0</v>
      </c>
      <c r="F271" s="3" t="s">
        <v>54</v>
      </c>
      <c r="G271" s="3">
        <v>3.0</v>
      </c>
      <c r="H271" s="3">
        <v>105.0</v>
      </c>
      <c r="I271" s="3">
        <v>315.0</v>
      </c>
      <c r="J271" s="2"/>
      <c r="K271" s="2"/>
    </row>
    <row r="272">
      <c r="A272" s="3">
        <v>271.0</v>
      </c>
      <c r="B272" s="4">
        <v>46017.0</v>
      </c>
      <c r="C272" s="3" t="s">
        <v>289</v>
      </c>
      <c r="D272" s="3" t="s">
        <v>17</v>
      </c>
      <c r="E272" s="3">
        <v>19.0</v>
      </c>
      <c r="F272" s="3" t="s">
        <v>15</v>
      </c>
      <c r="G272" s="3">
        <v>4.0</v>
      </c>
      <c r="H272" s="3">
        <v>80.0</v>
      </c>
      <c r="I272" s="3">
        <v>320.0</v>
      </c>
      <c r="J272" s="2"/>
      <c r="K272" s="2"/>
    </row>
    <row r="273">
      <c r="A273" s="3">
        <v>272.0</v>
      </c>
      <c r="B273" s="4">
        <v>45843.0</v>
      </c>
      <c r="C273" s="3" t="s">
        <v>290</v>
      </c>
      <c r="D273" s="3" t="s">
        <v>17</v>
      </c>
      <c r="E273" s="3">
        <v>49.0</v>
      </c>
      <c r="F273" s="3" t="s">
        <v>22</v>
      </c>
      <c r="G273" s="3">
        <v>2.0</v>
      </c>
      <c r="H273" s="3">
        <v>560.0</v>
      </c>
      <c r="I273" s="3">
        <v>1120.0</v>
      </c>
      <c r="J273" s="2"/>
      <c r="K273" s="2"/>
    </row>
    <row r="274">
      <c r="A274" s="3">
        <v>273.0</v>
      </c>
      <c r="B274" s="4">
        <v>45756.0</v>
      </c>
      <c r="C274" s="3" t="s">
        <v>291</v>
      </c>
      <c r="D274" s="3" t="s">
        <v>10</v>
      </c>
      <c r="E274" s="3">
        <v>36.0</v>
      </c>
      <c r="F274" s="3" t="s">
        <v>20</v>
      </c>
      <c r="G274" s="3">
        <v>2.0</v>
      </c>
      <c r="H274" s="3">
        <v>60.0</v>
      </c>
      <c r="I274" s="3">
        <v>120.0</v>
      </c>
      <c r="J274" s="2"/>
      <c r="K274" s="2"/>
    </row>
    <row r="275">
      <c r="A275" s="3">
        <v>274.0</v>
      </c>
      <c r="B275" s="4">
        <v>45709.0</v>
      </c>
      <c r="C275" s="3" t="s">
        <v>292</v>
      </c>
      <c r="D275" s="3" t="s">
        <v>10</v>
      </c>
      <c r="E275" s="3">
        <v>60.0</v>
      </c>
      <c r="F275" s="3" t="s">
        <v>15</v>
      </c>
      <c r="G275" s="3">
        <v>5.0</v>
      </c>
      <c r="H275" s="3">
        <v>370.0</v>
      </c>
      <c r="I275" s="3">
        <v>1850.0</v>
      </c>
      <c r="J275" s="2"/>
      <c r="K275" s="2"/>
    </row>
    <row r="276">
      <c r="A276" s="3">
        <v>275.0</v>
      </c>
      <c r="B276" s="4">
        <v>45830.0</v>
      </c>
      <c r="C276" s="3" t="s">
        <v>293</v>
      </c>
      <c r="D276" s="3" t="s">
        <v>17</v>
      </c>
      <c r="E276" s="3">
        <v>27.0</v>
      </c>
      <c r="F276" s="3" t="s">
        <v>15</v>
      </c>
      <c r="G276" s="3">
        <v>5.0</v>
      </c>
      <c r="H276" s="3">
        <v>105.0</v>
      </c>
      <c r="I276" s="3">
        <v>525.0</v>
      </c>
      <c r="J276" s="2"/>
      <c r="K276" s="2"/>
    </row>
    <row r="277">
      <c r="A277" s="3">
        <v>276.0</v>
      </c>
      <c r="B277" s="4">
        <v>45741.0</v>
      </c>
      <c r="C277" s="3" t="s">
        <v>294</v>
      </c>
      <c r="D277" s="3" t="s">
        <v>10</v>
      </c>
      <c r="E277" s="3">
        <v>44.0</v>
      </c>
      <c r="F277" s="3" t="s">
        <v>20</v>
      </c>
      <c r="G277" s="3">
        <v>4.0</v>
      </c>
      <c r="H277" s="3">
        <v>70.0</v>
      </c>
      <c r="I277" s="3">
        <v>280.0</v>
      </c>
      <c r="J277" s="2"/>
      <c r="K277" s="2"/>
    </row>
    <row r="278">
      <c r="A278" s="3">
        <v>277.0</v>
      </c>
      <c r="B278" s="4">
        <v>45844.0</v>
      </c>
      <c r="C278" s="3" t="s">
        <v>295</v>
      </c>
      <c r="D278" s="3" t="s">
        <v>17</v>
      </c>
      <c r="E278" s="3">
        <v>46.0</v>
      </c>
      <c r="F278" s="3" t="s">
        <v>20</v>
      </c>
      <c r="G278" s="3">
        <v>5.0</v>
      </c>
      <c r="H278" s="3">
        <v>160.0</v>
      </c>
      <c r="I278" s="3">
        <v>800.0</v>
      </c>
      <c r="J278" s="2"/>
      <c r="K278" s="2"/>
    </row>
    <row r="279">
      <c r="A279" s="3">
        <v>278.0</v>
      </c>
      <c r="B279" s="4">
        <v>45777.0</v>
      </c>
      <c r="C279" s="3" t="s">
        <v>296</v>
      </c>
      <c r="D279" s="3" t="s">
        <v>17</v>
      </c>
      <c r="E279" s="3">
        <v>30.0</v>
      </c>
      <c r="F279" s="3" t="s">
        <v>15</v>
      </c>
      <c r="G279" s="3">
        <v>3.0</v>
      </c>
      <c r="H279" s="3">
        <v>175.0</v>
      </c>
      <c r="I279" s="3">
        <v>525.0</v>
      </c>
      <c r="J279" s="2"/>
      <c r="K279" s="2"/>
    </row>
    <row r="280">
      <c r="A280" s="3">
        <v>279.0</v>
      </c>
      <c r="B280" s="4">
        <v>45846.0</v>
      </c>
      <c r="C280" s="3" t="s">
        <v>297</v>
      </c>
      <c r="D280" s="3" t="s">
        <v>17</v>
      </c>
      <c r="E280" s="3">
        <v>42.0</v>
      </c>
      <c r="F280" s="3" t="s">
        <v>15</v>
      </c>
      <c r="G280" s="3">
        <v>4.0</v>
      </c>
      <c r="H280" s="3">
        <v>305.0</v>
      </c>
      <c r="I280" s="3">
        <v>1220.0</v>
      </c>
      <c r="J280" s="2"/>
      <c r="K280" s="2"/>
    </row>
    <row r="281">
      <c r="A281" s="3">
        <v>280.0</v>
      </c>
      <c r="B281" s="4">
        <v>45915.0</v>
      </c>
      <c r="C281" s="3" t="s">
        <v>298</v>
      </c>
      <c r="D281" s="3" t="s">
        <v>10</v>
      </c>
      <c r="E281" s="3">
        <v>56.0</v>
      </c>
      <c r="F281" s="3" t="s">
        <v>15</v>
      </c>
      <c r="G281" s="3">
        <v>2.0</v>
      </c>
      <c r="H281" s="3">
        <v>290.0</v>
      </c>
      <c r="I281" s="3">
        <v>580.0</v>
      </c>
      <c r="J281" s="2"/>
      <c r="K281" s="2"/>
    </row>
    <row r="282">
      <c r="A282" s="3">
        <v>281.0</v>
      </c>
      <c r="B282" s="4">
        <v>45728.0</v>
      </c>
      <c r="C282" s="3" t="s">
        <v>299</v>
      </c>
      <c r="D282" s="3" t="s">
        <v>17</v>
      </c>
      <c r="E282" s="3">
        <v>53.0</v>
      </c>
      <c r="F282" s="3" t="s">
        <v>22</v>
      </c>
      <c r="G282" s="3">
        <v>4.0</v>
      </c>
      <c r="H282" s="3">
        <v>230.0</v>
      </c>
      <c r="I282" s="3">
        <v>920.0</v>
      </c>
      <c r="J282" s="2"/>
      <c r="K282" s="2"/>
    </row>
    <row r="283">
      <c r="A283" s="3">
        <v>282.0</v>
      </c>
      <c r="B283" s="4">
        <v>45710.0</v>
      </c>
      <c r="C283" s="3" t="s">
        <v>300</v>
      </c>
      <c r="D283" s="3" t="s">
        <v>10</v>
      </c>
      <c r="E283" s="3">
        <v>28.0</v>
      </c>
      <c r="F283" s="3" t="s">
        <v>15</v>
      </c>
      <c r="G283" s="3">
        <v>3.0</v>
      </c>
      <c r="H283" s="3">
        <v>100.0</v>
      </c>
      <c r="I283" s="3">
        <v>300.0</v>
      </c>
      <c r="J283" s="2"/>
      <c r="K283" s="2"/>
    </row>
    <row r="284">
      <c r="A284" s="3">
        <v>283.0</v>
      </c>
      <c r="B284" s="4">
        <v>45797.0</v>
      </c>
      <c r="C284" s="3" t="s">
        <v>301</v>
      </c>
      <c r="D284" s="3" t="s">
        <v>17</v>
      </c>
      <c r="E284" s="3">
        <v>23.0</v>
      </c>
      <c r="F284" s="3" t="s">
        <v>54</v>
      </c>
      <c r="G284" s="3">
        <v>2.0</v>
      </c>
      <c r="H284" s="3">
        <v>85.0</v>
      </c>
      <c r="I284" s="3">
        <v>170.0</v>
      </c>
      <c r="J284" s="2"/>
      <c r="K284" s="2"/>
    </row>
    <row r="285">
      <c r="A285" s="3">
        <v>284.0</v>
      </c>
      <c r="B285" s="4">
        <v>45771.0</v>
      </c>
      <c r="C285" s="3" t="s">
        <v>302</v>
      </c>
      <c r="D285" s="3" t="s">
        <v>17</v>
      </c>
      <c r="E285" s="3">
        <v>21.0</v>
      </c>
      <c r="F285" s="3" t="s">
        <v>54</v>
      </c>
      <c r="G285" s="3">
        <v>1.0</v>
      </c>
      <c r="H285" s="3">
        <v>60.0</v>
      </c>
      <c r="I285" s="3">
        <v>60.0</v>
      </c>
      <c r="J285" s="2"/>
      <c r="K285" s="2"/>
    </row>
    <row r="286">
      <c r="A286" s="3">
        <v>285.0</v>
      </c>
      <c r="B286" s="4">
        <v>45860.0</v>
      </c>
      <c r="C286" s="3" t="s">
        <v>303</v>
      </c>
      <c r="D286" s="3" t="s">
        <v>17</v>
      </c>
      <c r="E286" s="3">
        <v>23.0</v>
      </c>
      <c r="F286" s="3" t="s">
        <v>15</v>
      </c>
      <c r="G286" s="3">
        <v>2.0</v>
      </c>
      <c r="H286" s="3">
        <v>260.0</v>
      </c>
      <c r="I286" s="3">
        <v>520.0</v>
      </c>
      <c r="J286" s="2"/>
      <c r="K286" s="2"/>
    </row>
    <row r="287">
      <c r="A287" s="3">
        <v>286.0</v>
      </c>
      <c r="B287" s="4">
        <v>45849.0</v>
      </c>
      <c r="C287" s="3" t="s">
        <v>304</v>
      </c>
      <c r="D287" s="3" t="s">
        <v>10</v>
      </c>
      <c r="E287" s="3">
        <v>59.0</v>
      </c>
      <c r="F287" s="3" t="s">
        <v>20</v>
      </c>
      <c r="G287" s="3">
        <v>3.0</v>
      </c>
      <c r="H287" s="3">
        <v>25.0</v>
      </c>
      <c r="I287" s="3">
        <v>75.0</v>
      </c>
      <c r="J287" s="2"/>
      <c r="K287" s="2"/>
    </row>
    <row r="288">
      <c r="A288" s="3">
        <v>287.0</v>
      </c>
      <c r="B288" s="4">
        <v>45829.0</v>
      </c>
      <c r="C288" s="3" t="s">
        <v>305</v>
      </c>
      <c r="D288" s="3" t="s">
        <v>17</v>
      </c>
      <c r="E288" s="3">
        <v>48.0</v>
      </c>
      <c r="F288" s="3" t="s">
        <v>20</v>
      </c>
      <c r="G288" s="3">
        <v>1.0</v>
      </c>
      <c r="H288" s="3">
        <v>60.0</v>
      </c>
      <c r="I288" s="3">
        <v>60.0</v>
      </c>
      <c r="J288" s="2"/>
      <c r="K288" s="2"/>
    </row>
    <row r="289">
      <c r="A289" s="3">
        <v>288.0</v>
      </c>
      <c r="B289" s="4">
        <v>46014.0</v>
      </c>
      <c r="C289" s="3" t="s">
        <v>306</v>
      </c>
      <c r="D289" s="3" t="s">
        <v>10</v>
      </c>
      <c r="E289" s="3">
        <v>23.0</v>
      </c>
      <c r="F289" s="3" t="s">
        <v>20</v>
      </c>
      <c r="G289" s="3">
        <v>4.0</v>
      </c>
      <c r="H289" s="3">
        <v>170.0</v>
      </c>
      <c r="I289" s="3">
        <v>680.0</v>
      </c>
      <c r="J289" s="2"/>
      <c r="K289" s="2"/>
    </row>
    <row r="290">
      <c r="A290" s="3">
        <v>289.0</v>
      </c>
      <c r="B290" s="4">
        <v>45667.0</v>
      </c>
      <c r="C290" s="3" t="s">
        <v>307</v>
      </c>
      <c r="D290" s="3" t="s">
        <v>17</v>
      </c>
      <c r="E290" s="3">
        <v>25.0</v>
      </c>
      <c r="F290" s="3" t="s">
        <v>22</v>
      </c>
      <c r="G290" s="3">
        <v>2.0</v>
      </c>
      <c r="H290" s="3">
        <v>650.0</v>
      </c>
      <c r="I290" s="3">
        <v>1300.0</v>
      </c>
      <c r="J290" s="2"/>
      <c r="K290" s="2"/>
    </row>
    <row r="291">
      <c r="A291" s="3">
        <v>290.0</v>
      </c>
      <c r="B291" s="4">
        <v>45805.0</v>
      </c>
      <c r="C291" s="3" t="s">
        <v>308</v>
      </c>
      <c r="D291" s="3" t="s">
        <v>10</v>
      </c>
      <c r="E291" s="3">
        <v>33.0</v>
      </c>
      <c r="F291" s="3" t="s">
        <v>20</v>
      </c>
      <c r="G291" s="3">
        <v>1.0</v>
      </c>
      <c r="H291" s="3">
        <v>115.0</v>
      </c>
      <c r="I291" s="3">
        <v>115.0</v>
      </c>
      <c r="J291" s="2"/>
      <c r="K291" s="2"/>
    </row>
    <row r="292">
      <c r="A292" s="3">
        <v>291.0</v>
      </c>
      <c r="B292" s="4">
        <v>45872.0</v>
      </c>
      <c r="C292" s="3" t="s">
        <v>309</v>
      </c>
      <c r="D292" s="3" t="s">
        <v>10</v>
      </c>
      <c r="E292" s="3">
        <v>49.0</v>
      </c>
      <c r="F292" s="3" t="s">
        <v>15</v>
      </c>
      <c r="G292" s="3">
        <v>1.0</v>
      </c>
      <c r="H292" s="3">
        <v>315.0</v>
      </c>
      <c r="I292" s="3">
        <v>315.0</v>
      </c>
      <c r="J292" s="2"/>
      <c r="K292" s="2"/>
    </row>
    <row r="293">
      <c r="A293" s="3">
        <v>292.0</v>
      </c>
      <c r="B293" s="4">
        <v>45963.0</v>
      </c>
      <c r="C293" s="3" t="s">
        <v>310</v>
      </c>
      <c r="D293" s="3" t="s">
        <v>10</v>
      </c>
      <c r="E293" s="3">
        <v>27.0</v>
      </c>
      <c r="F293" s="3" t="s">
        <v>15</v>
      </c>
      <c r="G293" s="3">
        <v>5.0</v>
      </c>
      <c r="H293" s="3">
        <v>35.0</v>
      </c>
      <c r="I293" s="3">
        <v>175.0</v>
      </c>
      <c r="J293" s="2"/>
      <c r="K293" s="2"/>
    </row>
    <row r="294">
      <c r="A294" s="3">
        <v>293.0</v>
      </c>
      <c r="B294" s="4">
        <v>45807.0</v>
      </c>
      <c r="C294" s="3" t="s">
        <v>311</v>
      </c>
      <c r="D294" s="3" t="s">
        <v>17</v>
      </c>
      <c r="E294" s="3">
        <v>33.0</v>
      </c>
      <c r="F294" s="3" t="s">
        <v>54</v>
      </c>
      <c r="G294" s="3">
        <v>5.0</v>
      </c>
      <c r="H294" s="3">
        <v>5.0</v>
      </c>
      <c r="I294" s="3">
        <v>25.0</v>
      </c>
      <c r="J294" s="2"/>
      <c r="K294" s="2"/>
    </row>
    <row r="295">
      <c r="A295" s="3">
        <v>294.0</v>
      </c>
      <c r="B295" s="4">
        <v>45950.0</v>
      </c>
      <c r="C295" s="3" t="s">
        <v>312</v>
      </c>
      <c r="D295" s="3" t="s">
        <v>17</v>
      </c>
      <c r="E295" s="3">
        <v>22.0</v>
      </c>
      <c r="F295" s="3" t="s">
        <v>54</v>
      </c>
      <c r="G295" s="3">
        <v>1.0</v>
      </c>
      <c r="H295" s="3">
        <v>30.0</v>
      </c>
      <c r="I295" s="3">
        <v>30.0</v>
      </c>
      <c r="J295" s="2"/>
      <c r="K295" s="2"/>
    </row>
    <row r="296">
      <c r="A296" s="3">
        <v>295.0</v>
      </c>
      <c r="B296" s="4">
        <v>45927.0</v>
      </c>
      <c r="C296" s="3" t="s">
        <v>313</v>
      </c>
      <c r="D296" s="3" t="s">
        <v>10</v>
      </c>
      <c r="E296" s="3">
        <v>42.0</v>
      </c>
      <c r="F296" s="3" t="s">
        <v>15</v>
      </c>
      <c r="G296" s="3">
        <v>5.0</v>
      </c>
      <c r="H296" s="3">
        <v>345.0</v>
      </c>
      <c r="I296" s="3">
        <v>1725.0</v>
      </c>
      <c r="J296" s="2"/>
      <c r="K296" s="2"/>
    </row>
    <row r="297">
      <c r="A297" s="3">
        <v>296.0</v>
      </c>
      <c r="B297" s="4">
        <v>45898.0</v>
      </c>
      <c r="C297" s="3" t="s">
        <v>314</v>
      </c>
      <c r="D297" s="3" t="s">
        <v>17</v>
      </c>
      <c r="E297" s="3">
        <v>34.0</v>
      </c>
      <c r="F297" s="3" t="s">
        <v>11</v>
      </c>
      <c r="G297" s="3">
        <v>4.0</v>
      </c>
      <c r="H297" s="3">
        <v>215.0</v>
      </c>
      <c r="I297" s="3">
        <v>860.0</v>
      </c>
      <c r="J297" s="2"/>
      <c r="K297" s="2"/>
    </row>
    <row r="298">
      <c r="A298" s="3">
        <v>297.0</v>
      </c>
      <c r="B298" s="4">
        <v>45666.0</v>
      </c>
      <c r="C298" s="3" t="s">
        <v>315</v>
      </c>
      <c r="D298" s="3" t="s">
        <v>10</v>
      </c>
      <c r="E298" s="3">
        <v>60.0</v>
      </c>
      <c r="F298" s="3" t="s">
        <v>22</v>
      </c>
      <c r="G298" s="3">
        <v>3.0</v>
      </c>
      <c r="H298" s="3">
        <v>270.0</v>
      </c>
      <c r="I298" s="3">
        <v>810.0</v>
      </c>
      <c r="J298" s="2"/>
      <c r="K298" s="2"/>
    </row>
    <row r="299">
      <c r="A299" s="3">
        <v>298.0</v>
      </c>
      <c r="B299" s="4">
        <v>45979.0</v>
      </c>
      <c r="C299" s="3" t="s">
        <v>316</v>
      </c>
      <c r="D299" s="3" t="s">
        <v>10</v>
      </c>
      <c r="E299" s="3">
        <v>20.0</v>
      </c>
      <c r="F299" s="3" t="s">
        <v>11</v>
      </c>
      <c r="G299" s="3">
        <v>3.0</v>
      </c>
      <c r="H299" s="3">
        <v>200.0</v>
      </c>
      <c r="I299" s="3">
        <v>600.0</v>
      </c>
      <c r="J299" s="2"/>
      <c r="K299" s="2"/>
    </row>
    <row r="300">
      <c r="A300" s="3">
        <v>299.0</v>
      </c>
      <c r="B300" s="4">
        <v>45838.0</v>
      </c>
      <c r="C300" s="3" t="s">
        <v>317</v>
      </c>
      <c r="D300" s="3" t="s">
        <v>17</v>
      </c>
      <c r="E300" s="3">
        <v>48.0</v>
      </c>
      <c r="F300" s="3" t="s">
        <v>15</v>
      </c>
      <c r="G300" s="3">
        <v>2.0</v>
      </c>
      <c r="H300" s="3">
        <v>240.0</v>
      </c>
      <c r="I300" s="3">
        <v>480.0</v>
      </c>
      <c r="J300" s="2"/>
      <c r="K300" s="2"/>
    </row>
    <row r="301">
      <c r="A301" s="3">
        <v>300.0</v>
      </c>
      <c r="B301" s="4">
        <v>45981.0</v>
      </c>
      <c r="C301" s="3" t="s">
        <v>318</v>
      </c>
      <c r="D301" s="3" t="s">
        <v>17</v>
      </c>
      <c r="E301" s="3">
        <v>20.0</v>
      </c>
      <c r="F301" s="3" t="s">
        <v>20</v>
      </c>
      <c r="G301" s="3">
        <v>1.0</v>
      </c>
      <c r="H301" s="3">
        <v>60.0</v>
      </c>
      <c r="I301" s="3">
        <v>60.0</v>
      </c>
      <c r="J301" s="2"/>
      <c r="K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4.25"/>
    <col customWidth="1" min="14" max="14" width="1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319</v>
      </c>
      <c r="K1" s="3" t="s">
        <v>320</v>
      </c>
      <c r="L1" s="6" t="s">
        <v>321</v>
      </c>
      <c r="N1" s="6" t="s">
        <v>322</v>
      </c>
    </row>
    <row r="2">
      <c r="A2" s="3">
        <v>1.0</v>
      </c>
      <c r="B2" s="4">
        <v>45985.0</v>
      </c>
      <c r="C2" s="3" t="s">
        <v>9</v>
      </c>
      <c r="D2" s="3" t="s">
        <v>10</v>
      </c>
      <c r="E2" s="3">
        <v>32.0</v>
      </c>
      <c r="F2" s="3" t="s">
        <v>11</v>
      </c>
      <c r="G2" s="3">
        <v>3.0</v>
      </c>
      <c r="H2" s="3">
        <v>20.0</v>
      </c>
      <c r="I2" s="3">
        <v>60.0</v>
      </c>
      <c r="J2" s="2">
        <f t="shared" ref="J2:J301" si="1">YEAR(B2)</f>
        <v>2025</v>
      </c>
      <c r="K2" s="2">
        <f t="shared" ref="K2:K301" si="2">MONTH(B2)</f>
        <v>11</v>
      </c>
      <c r="L2" s="5" t="str">
        <f t="shared" ref="L2:L301" si="3">IF(I2&gt;1000,"YES","NO")</f>
        <v>NO</v>
      </c>
      <c r="N2" s="6" t="s">
        <v>323</v>
      </c>
      <c r="O2" s="5">
        <f>SUM(I2:I301)</f>
        <v>274810</v>
      </c>
    </row>
    <row r="3">
      <c r="A3" s="3">
        <v>2.0</v>
      </c>
      <c r="B3" s="4">
        <v>45729.0</v>
      </c>
      <c r="C3" s="3" t="s">
        <v>12</v>
      </c>
      <c r="D3" s="3" t="s">
        <v>10</v>
      </c>
      <c r="E3" s="3">
        <v>55.0</v>
      </c>
      <c r="F3" s="3" t="s">
        <v>11</v>
      </c>
      <c r="G3" s="3">
        <v>5.0</v>
      </c>
      <c r="H3" s="3">
        <v>230.0</v>
      </c>
      <c r="I3" s="3">
        <v>1150.0</v>
      </c>
      <c r="J3" s="2">
        <f t="shared" si="1"/>
        <v>2025</v>
      </c>
      <c r="K3" s="2">
        <f t="shared" si="2"/>
        <v>3</v>
      </c>
      <c r="L3" s="5" t="str">
        <f t="shared" si="3"/>
        <v>YES</v>
      </c>
      <c r="N3" s="6" t="s">
        <v>324</v>
      </c>
      <c r="O3" s="5">
        <f>AVERAGE(I2:I301)</f>
        <v>916.0333333</v>
      </c>
    </row>
    <row r="4">
      <c r="A4" s="3">
        <v>3.0</v>
      </c>
      <c r="B4" s="4">
        <v>45874.0</v>
      </c>
      <c r="C4" s="3" t="s">
        <v>13</v>
      </c>
      <c r="D4" s="3" t="s">
        <v>10</v>
      </c>
      <c r="E4" s="3">
        <v>32.0</v>
      </c>
      <c r="F4" s="3" t="s">
        <v>11</v>
      </c>
      <c r="G4" s="3">
        <v>1.0</v>
      </c>
      <c r="H4" s="3">
        <v>20.0</v>
      </c>
      <c r="I4" s="3">
        <v>20.0</v>
      </c>
      <c r="J4" s="2">
        <f t="shared" si="1"/>
        <v>2025</v>
      </c>
      <c r="K4" s="2">
        <f t="shared" si="2"/>
        <v>8</v>
      </c>
      <c r="L4" s="5" t="str">
        <f t="shared" si="3"/>
        <v>NO</v>
      </c>
      <c r="N4" s="6" t="s">
        <v>325</v>
      </c>
      <c r="O4" s="5">
        <f>MAX(I2:I301)</f>
        <v>6725</v>
      </c>
    </row>
    <row r="5">
      <c r="A5" s="3">
        <v>4.0</v>
      </c>
      <c r="B5" s="4">
        <v>45916.0</v>
      </c>
      <c r="C5" s="3" t="s">
        <v>14</v>
      </c>
      <c r="D5" s="3" t="s">
        <v>10</v>
      </c>
      <c r="E5" s="3">
        <v>59.0</v>
      </c>
      <c r="F5" s="3" t="s">
        <v>15</v>
      </c>
      <c r="G5" s="3">
        <v>5.0</v>
      </c>
      <c r="H5" s="3">
        <v>40.0</v>
      </c>
      <c r="I5" s="3">
        <v>200.0</v>
      </c>
      <c r="J5" s="2">
        <f t="shared" si="1"/>
        <v>2025</v>
      </c>
      <c r="K5" s="2">
        <f t="shared" si="2"/>
        <v>9</v>
      </c>
      <c r="L5" s="5" t="str">
        <f t="shared" si="3"/>
        <v>NO</v>
      </c>
      <c r="N5" s="6" t="s">
        <v>326</v>
      </c>
      <c r="O5" s="5">
        <f>MIN(I2:I301)</f>
        <v>15</v>
      </c>
    </row>
    <row r="6">
      <c r="A6" s="3">
        <v>5.0</v>
      </c>
      <c r="B6" s="4">
        <v>46017.0</v>
      </c>
      <c r="C6" s="3" t="s">
        <v>16</v>
      </c>
      <c r="D6" s="3" t="s">
        <v>17</v>
      </c>
      <c r="E6" s="3">
        <v>55.0</v>
      </c>
      <c r="F6" s="3" t="s">
        <v>15</v>
      </c>
      <c r="G6" s="3">
        <v>2.0</v>
      </c>
      <c r="H6" s="3">
        <v>290.0</v>
      </c>
      <c r="I6" s="3">
        <v>580.0</v>
      </c>
      <c r="J6" s="2">
        <f t="shared" si="1"/>
        <v>2025</v>
      </c>
      <c r="K6" s="2">
        <f t="shared" si="2"/>
        <v>12</v>
      </c>
      <c r="L6" s="5" t="str">
        <f t="shared" si="3"/>
        <v>NO</v>
      </c>
    </row>
    <row r="7">
      <c r="A7" s="3">
        <v>6.0</v>
      </c>
      <c r="B7" s="4">
        <v>45800.0</v>
      </c>
      <c r="C7" s="3" t="s">
        <v>18</v>
      </c>
      <c r="D7" s="3" t="s">
        <v>17</v>
      </c>
      <c r="E7" s="3">
        <v>35.0</v>
      </c>
      <c r="F7" s="3" t="s">
        <v>11</v>
      </c>
      <c r="G7" s="3">
        <v>4.0</v>
      </c>
      <c r="H7" s="3">
        <v>65.0</v>
      </c>
      <c r="I7" s="3">
        <v>260.0</v>
      </c>
      <c r="J7" s="2">
        <f t="shared" si="1"/>
        <v>2025</v>
      </c>
      <c r="K7" s="2">
        <f t="shared" si="2"/>
        <v>5</v>
      </c>
      <c r="L7" s="5" t="str">
        <f t="shared" si="3"/>
        <v>NO</v>
      </c>
    </row>
    <row r="8">
      <c r="A8" s="3">
        <v>7.0</v>
      </c>
      <c r="B8" s="4">
        <v>45737.0</v>
      </c>
      <c r="C8" s="3" t="s">
        <v>19</v>
      </c>
      <c r="D8" s="3" t="s">
        <v>10</v>
      </c>
      <c r="E8" s="3">
        <v>42.0</v>
      </c>
      <c r="F8" s="3" t="s">
        <v>20</v>
      </c>
      <c r="G8" s="3">
        <v>1.0</v>
      </c>
      <c r="H8" s="3">
        <v>125.0</v>
      </c>
      <c r="I8" s="3">
        <v>125.0</v>
      </c>
      <c r="J8" s="2">
        <f t="shared" si="1"/>
        <v>2025</v>
      </c>
      <c r="K8" s="2">
        <f t="shared" si="2"/>
        <v>3</v>
      </c>
      <c r="L8" s="5" t="str">
        <f t="shared" si="3"/>
        <v>NO</v>
      </c>
    </row>
    <row r="9">
      <c r="A9" s="3">
        <v>8.0</v>
      </c>
      <c r="B9" s="4">
        <v>45707.0</v>
      </c>
      <c r="C9" s="3" t="s">
        <v>21</v>
      </c>
      <c r="D9" s="3" t="s">
        <v>17</v>
      </c>
      <c r="E9" s="3">
        <v>20.0</v>
      </c>
      <c r="F9" s="3" t="s">
        <v>22</v>
      </c>
      <c r="G9" s="3">
        <v>5.0</v>
      </c>
      <c r="H9" s="3">
        <v>980.0</v>
      </c>
      <c r="I9" s="3">
        <v>4900.0</v>
      </c>
      <c r="J9" s="2">
        <f t="shared" si="1"/>
        <v>2025</v>
      </c>
      <c r="K9" s="2">
        <f t="shared" si="2"/>
        <v>2</v>
      </c>
      <c r="L9" s="5" t="str">
        <f t="shared" si="3"/>
        <v>YES</v>
      </c>
    </row>
    <row r="10">
      <c r="A10" s="3">
        <v>9.0</v>
      </c>
      <c r="B10" s="4">
        <v>45893.0</v>
      </c>
      <c r="C10" s="3" t="s">
        <v>23</v>
      </c>
      <c r="D10" s="3" t="s">
        <v>10</v>
      </c>
      <c r="E10" s="3">
        <v>53.0</v>
      </c>
      <c r="F10" s="3" t="s">
        <v>15</v>
      </c>
      <c r="G10" s="3">
        <v>4.0</v>
      </c>
      <c r="H10" s="3">
        <v>100.0</v>
      </c>
      <c r="I10" s="3">
        <v>400.0</v>
      </c>
      <c r="J10" s="2">
        <f t="shared" si="1"/>
        <v>2025</v>
      </c>
      <c r="K10" s="2">
        <f t="shared" si="2"/>
        <v>8</v>
      </c>
      <c r="L10" s="5" t="str">
        <f t="shared" si="3"/>
        <v>NO</v>
      </c>
    </row>
    <row r="11">
      <c r="A11" s="3">
        <v>10.0</v>
      </c>
      <c r="B11" s="4">
        <v>45808.0</v>
      </c>
      <c r="C11" s="3" t="s">
        <v>24</v>
      </c>
      <c r="D11" s="3" t="s">
        <v>10</v>
      </c>
      <c r="E11" s="3">
        <v>22.0</v>
      </c>
      <c r="F11" s="3" t="s">
        <v>15</v>
      </c>
      <c r="G11" s="3">
        <v>5.0</v>
      </c>
      <c r="H11" s="3">
        <v>255.0</v>
      </c>
      <c r="I11" s="3">
        <v>1275.0</v>
      </c>
      <c r="J11" s="2">
        <f t="shared" si="1"/>
        <v>2025</v>
      </c>
      <c r="K11" s="2">
        <f t="shared" si="2"/>
        <v>5</v>
      </c>
      <c r="L11" s="5" t="str">
        <f t="shared" si="3"/>
        <v>YES</v>
      </c>
    </row>
    <row r="12">
      <c r="A12" s="3">
        <v>11.0</v>
      </c>
      <c r="B12" s="4">
        <v>45681.0</v>
      </c>
      <c r="C12" s="3" t="s">
        <v>25</v>
      </c>
      <c r="D12" s="3" t="s">
        <v>10</v>
      </c>
      <c r="E12" s="3">
        <v>24.0</v>
      </c>
      <c r="F12" s="3" t="s">
        <v>20</v>
      </c>
      <c r="G12" s="3">
        <v>1.0</v>
      </c>
      <c r="H12" s="3">
        <v>110.0</v>
      </c>
      <c r="I12" s="3">
        <v>110.0</v>
      </c>
      <c r="J12" s="2">
        <f t="shared" si="1"/>
        <v>2025</v>
      </c>
      <c r="K12" s="2">
        <f t="shared" si="2"/>
        <v>1</v>
      </c>
      <c r="L12" s="5" t="str">
        <f t="shared" si="3"/>
        <v>NO</v>
      </c>
    </row>
    <row r="13">
      <c r="A13" s="3">
        <v>12.0</v>
      </c>
      <c r="B13" s="4">
        <v>45852.0</v>
      </c>
      <c r="C13" s="3" t="s">
        <v>26</v>
      </c>
      <c r="D13" s="3" t="s">
        <v>10</v>
      </c>
      <c r="E13" s="3">
        <v>41.0</v>
      </c>
      <c r="F13" s="3" t="s">
        <v>22</v>
      </c>
      <c r="G13" s="3">
        <v>3.0</v>
      </c>
      <c r="H13" s="3">
        <v>1260.0</v>
      </c>
      <c r="I13" s="3">
        <v>3780.0</v>
      </c>
      <c r="J13" s="2">
        <f t="shared" si="1"/>
        <v>2025</v>
      </c>
      <c r="K13" s="2">
        <f t="shared" si="2"/>
        <v>7</v>
      </c>
      <c r="L13" s="5" t="str">
        <f t="shared" si="3"/>
        <v>YES</v>
      </c>
    </row>
    <row r="14">
      <c r="A14" s="3">
        <v>13.0</v>
      </c>
      <c r="B14" s="4">
        <v>45839.0</v>
      </c>
      <c r="C14" s="3" t="s">
        <v>27</v>
      </c>
      <c r="D14" s="3" t="s">
        <v>10</v>
      </c>
      <c r="E14" s="3">
        <v>52.0</v>
      </c>
      <c r="F14" s="3" t="s">
        <v>20</v>
      </c>
      <c r="G14" s="3">
        <v>1.0</v>
      </c>
      <c r="H14" s="3">
        <v>105.0</v>
      </c>
      <c r="I14" s="3">
        <v>105.0</v>
      </c>
      <c r="J14" s="2">
        <f t="shared" si="1"/>
        <v>2025</v>
      </c>
      <c r="K14" s="2">
        <f t="shared" si="2"/>
        <v>7</v>
      </c>
      <c r="L14" s="5" t="str">
        <f t="shared" si="3"/>
        <v>NO</v>
      </c>
    </row>
    <row r="15">
      <c r="A15" s="3">
        <v>14.0</v>
      </c>
      <c r="B15" s="4">
        <v>45783.0</v>
      </c>
      <c r="C15" s="3" t="s">
        <v>28</v>
      </c>
      <c r="D15" s="3" t="s">
        <v>17</v>
      </c>
      <c r="E15" s="3">
        <v>58.0</v>
      </c>
      <c r="F15" s="3" t="s">
        <v>20</v>
      </c>
      <c r="G15" s="3">
        <v>4.0</v>
      </c>
      <c r="H15" s="3">
        <v>165.0</v>
      </c>
      <c r="I15" s="3">
        <v>660.0</v>
      </c>
      <c r="J15" s="2">
        <f t="shared" si="1"/>
        <v>2025</v>
      </c>
      <c r="K15" s="2">
        <f t="shared" si="2"/>
        <v>5</v>
      </c>
      <c r="L15" s="5" t="str">
        <f t="shared" si="3"/>
        <v>NO</v>
      </c>
    </row>
    <row r="16">
      <c r="A16" s="3">
        <v>15.0</v>
      </c>
      <c r="B16" s="4">
        <v>46010.0</v>
      </c>
      <c r="C16" s="3" t="s">
        <v>29</v>
      </c>
      <c r="D16" s="3" t="s">
        <v>10</v>
      </c>
      <c r="E16" s="3">
        <v>32.0</v>
      </c>
      <c r="F16" s="3" t="s">
        <v>15</v>
      </c>
      <c r="G16" s="3">
        <v>3.0</v>
      </c>
      <c r="H16" s="3">
        <v>165.0</v>
      </c>
      <c r="I16" s="3">
        <v>495.0</v>
      </c>
      <c r="J16" s="2">
        <f t="shared" si="1"/>
        <v>2025</v>
      </c>
      <c r="K16" s="2">
        <f t="shared" si="2"/>
        <v>12</v>
      </c>
      <c r="L16" s="5" t="str">
        <f t="shared" si="3"/>
        <v>NO</v>
      </c>
    </row>
    <row r="17">
      <c r="A17" s="3">
        <v>16.0</v>
      </c>
      <c r="B17" s="4">
        <v>45674.0</v>
      </c>
      <c r="C17" s="3" t="s">
        <v>30</v>
      </c>
      <c r="D17" s="3" t="s">
        <v>10</v>
      </c>
      <c r="E17" s="3">
        <v>31.0</v>
      </c>
      <c r="F17" s="3" t="s">
        <v>22</v>
      </c>
      <c r="G17" s="3">
        <v>3.0</v>
      </c>
      <c r="H17" s="3">
        <v>1125.0</v>
      </c>
      <c r="I17" s="3">
        <v>3375.0</v>
      </c>
      <c r="J17" s="2">
        <f t="shared" si="1"/>
        <v>2025</v>
      </c>
      <c r="K17" s="2">
        <f t="shared" si="2"/>
        <v>1</v>
      </c>
      <c r="L17" s="5" t="str">
        <f t="shared" si="3"/>
        <v>YES</v>
      </c>
    </row>
    <row r="18">
      <c r="A18" s="3">
        <v>17.0</v>
      </c>
      <c r="B18" s="4">
        <v>45948.0</v>
      </c>
      <c r="C18" s="3" t="s">
        <v>31</v>
      </c>
      <c r="D18" s="3" t="s">
        <v>17</v>
      </c>
      <c r="E18" s="3">
        <v>59.0</v>
      </c>
      <c r="F18" s="3" t="s">
        <v>22</v>
      </c>
      <c r="G18" s="3">
        <v>4.0</v>
      </c>
      <c r="H18" s="3">
        <v>640.0</v>
      </c>
      <c r="I18" s="3">
        <v>2560.0</v>
      </c>
      <c r="J18" s="2">
        <f t="shared" si="1"/>
        <v>2025</v>
      </c>
      <c r="K18" s="2">
        <f t="shared" si="2"/>
        <v>10</v>
      </c>
      <c r="L18" s="5" t="str">
        <f t="shared" si="3"/>
        <v>YES</v>
      </c>
    </row>
    <row r="19">
      <c r="A19" s="3">
        <v>18.0</v>
      </c>
      <c r="B19" s="4">
        <v>45892.0</v>
      </c>
      <c r="C19" s="3" t="s">
        <v>32</v>
      </c>
      <c r="D19" s="3" t="s">
        <v>10</v>
      </c>
      <c r="E19" s="3">
        <v>53.0</v>
      </c>
      <c r="F19" s="3" t="s">
        <v>20</v>
      </c>
      <c r="G19" s="3">
        <v>2.0</v>
      </c>
      <c r="H19" s="3">
        <v>100.0</v>
      </c>
      <c r="I19" s="3">
        <v>200.0</v>
      </c>
      <c r="J19" s="2">
        <f t="shared" si="1"/>
        <v>2025</v>
      </c>
      <c r="K19" s="2">
        <f t="shared" si="2"/>
        <v>8</v>
      </c>
      <c r="L19" s="5" t="str">
        <f t="shared" si="3"/>
        <v>NO</v>
      </c>
    </row>
    <row r="20">
      <c r="A20" s="3">
        <v>19.0</v>
      </c>
      <c r="B20" s="4">
        <v>45933.0</v>
      </c>
      <c r="C20" s="3" t="s">
        <v>33</v>
      </c>
      <c r="D20" s="3" t="s">
        <v>17</v>
      </c>
      <c r="E20" s="3">
        <v>41.0</v>
      </c>
      <c r="F20" s="3" t="s">
        <v>22</v>
      </c>
      <c r="G20" s="3">
        <v>5.0</v>
      </c>
      <c r="H20" s="3">
        <v>1195.0</v>
      </c>
      <c r="I20" s="3">
        <v>5975.0</v>
      </c>
      <c r="J20" s="2">
        <f t="shared" si="1"/>
        <v>2025</v>
      </c>
      <c r="K20" s="2">
        <f t="shared" si="2"/>
        <v>10</v>
      </c>
      <c r="L20" s="5" t="str">
        <f t="shared" si="3"/>
        <v>YES</v>
      </c>
    </row>
    <row r="21">
      <c r="A21" s="3">
        <v>20.0</v>
      </c>
      <c r="B21" s="4">
        <v>45770.0</v>
      </c>
      <c r="C21" s="3" t="s">
        <v>34</v>
      </c>
      <c r="D21" s="3" t="s">
        <v>10</v>
      </c>
      <c r="E21" s="3">
        <v>21.0</v>
      </c>
      <c r="F21" s="3" t="s">
        <v>20</v>
      </c>
      <c r="G21" s="3">
        <v>4.0</v>
      </c>
      <c r="H21" s="3">
        <v>180.0</v>
      </c>
      <c r="I21" s="3">
        <v>720.0</v>
      </c>
      <c r="J21" s="2">
        <f t="shared" si="1"/>
        <v>2025</v>
      </c>
      <c r="K21" s="2">
        <f t="shared" si="2"/>
        <v>4</v>
      </c>
      <c r="L21" s="5" t="str">
        <f t="shared" si="3"/>
        <v>NO</v>
      </c>
    </row>
    <row r="22">
      <c r="A22" s="3">
        <v>21.0</v>
      </c>
      <c r="B22" s="4">
        <v>45714.0</v>
      </c>
      <c r="C22" s="3" t="s">
        <v>35</v>
      </c>
      <c r="D22" s="3" t="s">
        <v>10</v>
      </c>
      <c r="E22" s="3">
        <v>42.0</v>
      </c>
      <c r="F22" s="3" t="s">
        <v>20</v>
      </c>
      <c r="G22" s="3">
        <v>4.0</v>
      </c>
      <c r="H22" s="3">
        <v>70.0</v>
      </c>
      <c r="I22" s="3">
        <v>280.0</v>
      </c>
      <c r="J22" s="2">
        <f t="shared" si="1"/>
        <v>2025</v>
      </c>
      <c r="K22" s="2">
        <f t="shared" si="2"/>
        <v>2</v>
      </c>
      <c r="L22" s="5" t="str">
        <f t="shared" si="3"/>
        <v>NO</v>
      </c>
    </row>
    <row r="23">
      <c r="A23" s="3">
        <v>22.0</v>
      </c>
      <c r="B23" s="4">
        <v>45853.0</v>
      </c>
      <c r="C23" s="3" t="s">
        <v>36</v>
      </c>
      <c r="D23" s="3" t="s">
        <v>17</v>
      </c>
      <c r="E23" s="3">
        <v>53.0</v>
      </c>
      <c r="F23" s="3" t="s">
        <v>15</v>
      </c>
      <c r="G23" s="3">
        <v>5.0</v>
      </c>
      <c r="H23" s="3">
        <v>320.0</v>
      </c>
      <c r="I23" s="3">
        <v>1600.0</v>
      </c>
      <c r="J23" s="2">
        <f t="shared" si="1"/>
        <v>2025</v>
      </c>
      <c r="K23" s="2">
        <f t="shared" si="2"/>
        <v>7</v>
      </c>
      <c r="L23" s="5" t="str">
        <f t="shared" si="3"/>
        <v>YES</v>
      </c>
    </row>
    <row r="24">
      <c r="A24" s="3">
        <v>23.0</v>
      </c>
      <c r="B24" s="4">
        <v>45663.0</v>
      </c>
      <c r="C24" s="3" t="s">
        <v>37</v>
      </c>
      <c r="D24" s="3" t="s">
        <v>17</v>
      </c>
      <c r="E24" s="3">
        <v>59.0</v>
      </c>
      <c r="F24" s="3" t="s">
        <v>11</v>
      </c>
      <c r="G24" s="3">
        <v>5.0</v>
      </c>
      <c r="H24" s="3">
        <v>230.0</v>
      </c>
      <c r="I24" s="3">
        <v>1150.0</v>
      </c>
      <c r="J24" s="2">
        <f t="shared" si="1"/>
        <v>2025</v>
      </c>
      <c r="K24" s="2">
        <f t="shared" si="2"/>
        <v>1</v>
      </c>
      <c r="L24" s="5" t="str">
        <f t="shared" si="3"/>
        <v>YES</v>
      </c>
    </row>
    <row r="25">
      <c r="A25" s="3">
        <v>24.0</v>
      </c>
      <c r="B25" s="4">
        <v>45832.0</v>
      </c>
      <c r="C25" s="3" t="s">
        <v>38</v>
      </c>
      <c r="D25" s="3" t="s">
        <v>10</v>
      </c>
      <c r="E25" s="3">
        <v>47.0</v>
      </c>
      <c r="F25" s="3" t="s">
        <v>11</v>
      </c>
      <c r="G25" s="3">
        <v>4.0</v>
      </c>
      <c r="H25" s="3">
        <v>105.0</v>
      </c>
      <c r="I25" s="3">
        <v>420.0</v>
      </c>
      <c r="J25" s="2">
        <f t="shared" si="1"/>
        <v>2025</v>
      </c>
      <c r="K25" s="2">
        <f t="shared" si="2"/>
        <v>6</v>
      </c>
      <c r="L25" s="5" t="str">
        <f t="shared" si="3"/>
        <v>NO</v>
      </c>
    </row>
    <row r="26">
      <c r="A26" s="3">
        <v>25.0</v>
      </c>
      <c r="B26" s="4">
        <v>45659.0</v>
      </c>
      <c r="C26" s="3" t="s">
        <v>39</v>
      </c>
      <c r="D26" s="3" t="s">
        <v>10</v>
      </c>
      <c r="E26" s="3">
        <v>58.0</v>
      </c>
      <c r="F26" s="3" t="s">
        <v>22</v>
      </c>
      <c r="G26" s="3">
        <v>2.0</v>
      </c>
      <c r="H26" s="3">
        <v>1380.0</v>
      </c>
      <c r="I26" s="3">
        <v>2760.0</v>
      </c>
      <c r="J26" s="2">
        <f t="shared" si="1"/>
        <v>2025</v>
      </c>
      <c r="K26" s="2">
        <f t="shared" si="2"/>
        <v>1</v>
      </c>
      <c r="L26" s="5" t="str">
        <f t="shared" si="3"/>
        <v>YES</v>
      </c>
    </row>
    <row r="27">
      <c r="A27" s="3">
        <v>26.0</v>
      </c>
      <c r="B27" s="4">
        <v>45810.0</v>
      </c>
      <c r="C27" s="3" t="s">
        <v>40</v>
      </c>
      <c r="D27" s="3" t="s">
        <v>10</v>
      </c>
      <c r="E27" s="3">
        <v>41.0</v>
      </c>
      <c r="F27" s="3" t="s">
        <v>15</v>
      </c>
      <c r="G27" s="3">
        <v>2.0</v>
      </c>
      <c r="H27" s="3">
        <v>410.0</v>
      </c>
      <c r="I27" s="3">
        <v>820.0</v>
      </c>
      <c r="J27" s="2">
        <f t="shared" si="1"/>
        <v>2025</v>
      </c>
      <c r="K27" s="2">
        <f t="shared" si="2"/>
        <v>6</v>
      </c>
      <c r="L27" s="5" t="str">
        <f t="shared" si="3"/>
        <v>NO</v>
      </c>
    </row>
    <row r="28">
      <c r="A28" s="3">
        <v>27.0</v>
      </c>
      <c r="B28" s="4">
        <v>45740.0</v>
      </c>
      <c r="C28" s="3" t="s">
        <v>41</v>
      </c>
      <c r="D28" s="3" t="s">
        <v>17</v>
      </c>
      <c r="E28" s="3">
        <v>49.0</v>
      </c>
      <c r="F28" s="3" t="s">
        <v>15</v>
      </c>
      <c r="G28" s="3">
        <v>1.0</v>
      </c>
      <c r="H28" s="3">
        <v>360.0</v>
      </c>
      <c r="I28" s="3">
        <v>360.0</v>
      </c>
      <c r="J28" s="2">
        <f t="shared" si="1"/>
        <v>2025</v>
      </c>
      <c r="K28" s="2">
        <f t="shared" si="2"/>
        <v>3</v>
      </c>
      <c r="L28" s="5" t="str">
        <f t="shared" si="3"/>
        <v>NO</v>
      </c>
    </row>
    <row r="29">
      <c r="A29" s="3">
        <v>28.0</v>
      </c>
      <c r="B29" s="4">
        <v>45667.0</v>
      </c>
      <c r="C29" s="3" t="s">
        <v>42</v>
      </c>
      <c r="D29" s="3" t="s">
        <v>10</v>
      </c>
      <c r="E29" s="3">
        <v>21.0</v>
      </c>
      <c r="F29" s="3" t="s">
        <v>11</v>
      </c>
      <c r="G29" s="3">
        <v>3.0</v>
      </c>
      <c r="H29" s="3">
        <v>130.0</v>
      </c>
      <c r="I29" s="3">
        <v>390.0</v>
      </c>
      <c r="J29" s="2">
        <f t="shared" si="1"/>
        <v>2025</v>
      </c>
      <c r="K29" s="2">
        <f t="shared" si="2"/>
        <v>1</v>
      </c>
      <c r="L29" s="5" t="str">
        <f t="shared" si="3"/>
        <v>NO</v>
      </c>
    </row>
    <row r="30">
      <c r="A30" s="3">
        <v>29.0</v>
      </c>
      <c r="B30" s="4">
        <v>45781.0</v>
      </c>
      <c r="C30" s="3" t="s">
        <v>43</v>
      </c>
      <c r="D30" s="3" t="s">
        <v>17</v>
      </c>
      <c r="E30" s="3">
        <v>22.0</v>
      </c>
      <c r="F30" s="3" t="s">
        <v>15</v>
      </c>
      <c r="G30" s="3">
        <v>1.0</v>
      </c>
      <c r="H30" s="3">
        <v>75.0</v>
      </c>
      <c r="I30" s="3">
        <v>75.0</v>
      </c>
      <c r="J30" s="2">
        <f t="shared" si="1"/>
        <v>2025</v>
      </c>
      <c r="K30" s="2">
        <f t="shared" si="2"/>
        <v>5</v>
      </c>
      <c r="L30" s="5" t="str">
        <f t="shared" si="3"/>
        <v>NO</v>
      </c>
    </row>
    <row r="31">
      <c r="A31" s="3">
        <v>30.0</v>
      </c>
      <c r="B31" s="4">
        <v>45930.0</v>
      </c>
      <c r="C31" s="3" t="s">
        <v>44</v>
      </c>
      <c r="D31" s="3" t="s">
        <v>10</v>
      </c>
      <c r="E31" s="3">
        <v>34.0</v>
      </c>
      <c r="F31" s="3" t="s">
        <v>20</v>
      </c>
      <c r="G31" s="3">
        <v>4.0</v>
      </c>
      <c r="H31" s="3">
        <v>60.0</v>
      </c>
      <c r="I31" s="3">
        <v>240.0</v>
      </c>
      <c r="J31" s="2">
        <f t="shared" si="1"/>
        <v>2025</v>
      </c>
      <c r="K31" s="2">
        <f t="shared" si="2"/>
        <v>9</v>
      </c>
      <c r="L31" s="5" t="str">
        <f t="shared" si="3"/>
        <v>NO</v>
      </c>
    </row>
    <row r="32">
      <c r="A32" s="3">
        <v>31.0</v>
      </c>
      <c r="B32" s="4">
        <v>45928.0</v>
      </c>
      <c r="C32" s="3" t="s">
        <v>45</v>
      </c>
      <c r="D32" s="3" t="s">
        <v>10</v>
      </c>
      <c r="E32" s="3">
        <v>37.0</v>
      </c>
      <c r="F32" s="3" t="s">
        <v>15</v>
      </c>
      <c r="G32" s="3">
        <v>2.0</v>
      </c>
      <c r="H32" s="3">
        <v>295.0</v>
      </c>
      <c r="I32" s="3">
        <v>590.0</v>
      </c>
      <c r="J32" s="2">
        <f t="shared" si="1"/>
        <v>2025</v>
      </c>
      <c r="K32" s="2">
        <f t="shared" si="2"/>
        <v>9</v>
      </c>
      <c r="L32" s="5" t="str">
        <f t="shared" si="3"/>
        <v>NO</v>
      </c>
    </row>
    <row r="33">
      <c r="A33" s="3">
        <v>32.0</v>
      </c>
      <c r="B33" s="4">
        <v>45862.0</v>
      </c>
      <c r="C33" s="3" t="s">
        <v>46</v>
      </c>
      <c r="D33" s="3" t="s">
        <v>17</v>
      </c>
      <c r="E33" s="3">
        <v>25.0</v>
      </c>
      <c r="F33" s="3" t="s">
        <v>22</v>
      </c>
      <c r="G33" s="3">
        <v>5.0</v>
      </c>
      <c r="H33" s="3">
        <v>1220.0</v>
      </c>
      <c r="I33" s="3">
        <v>6100.0</v>
      </c>
      <c r="J33" s="2">
        <f t="shared" si="1"/>
        <v>2025</v>
      </c>
      <c r="K33" s="2">
        <f t="shared" si="2"/>
        <v>7</v>
      </c>
      <c r="L33" s="5" t="str">
        <f t="shared" si="3"/>
        <v>YES</v>
      </c>
    </row>
    <row r="34">
      <c r="A34" s="3">
        <v>33.0</v>
      </c>
      <c r="B34" s="4">
        <v>45784.0</v>
      </c>
      <c r="C34" s="3" t="s">
        <v>47</v>
      </c>
      <c r="D34" s="3" t="s">
        <v>10</v>
      </c>
      <c r="E34" s="3">
        <v>55.0</v>
      </c>
      <c r="F34" s="3" t="s">
        <v>20</v>
      </c>
      <c r="G34" s="3">
        <v>3.0</v>
      </c>
      <c r="H34" s="3">
        <v>40.0</v>
      </c>
      <c r="I34" s="3">
        <v>120.0</v>
      </c>
      <c r="J34" s="2">
        <f t="shared" si="1"/>
        <v>2025</v>
      </c>
      <c r="K34" s="2">
        <f t="shared" si="2"/>
        <v>5</v>
      </c>
      <c r="L34" s="5" t="str">
        <f t="shared" si="3"/>
        <v>NO</v>
      </c>
    </row>
    <row r="35">
      <c r="A35" s="3">
        <v>34.0</v>
      </c>
      <c r="B35" s="4">
        <v>45941.0</v>
      </c>
      <c r="C35" s="3" t="s">
        <v>48</v>
      </c>
      <c r="D35" s="3" t="s">
        <v>10</v>
      </c>
      <c r="E35" s="3">
        <v>58.0</v>
      </c>
      <c r="F35" s="3" t="s">
        <v>20</v>
      </c>
      <c r="G35" s="3">
        <v>1.0</v>
      </c>
      <c r="H35" s="3">
        <v>90.0</v>
      </c>
      <c r="I35" s="3">
        <v>90.0</v>
      </c>
      <c r="J35" s="2">
        <f t="shared" si="1"/>
        <v>2025</v>
      </c>
      <c r="K35" s="2">
        <f t="shared" si="2"/>
        <v>10</v>
      </c>
      <c r="L35" s="5" t="str">
        <f t="shared" si="3"/>
        <v>NO</v>
      </c>
    </row>
    <row r="36">
      <c r="A36" s="3">
        <v>35.0</v>
      </c>
      <c r="B36" s="4">
        <v>45688.0</v>
      </c>
      <c r="C36" s="3" t="s">
        <v>49</v>
      </c>
      <c r="D36" s="3" t="s">
        <v>17</v>
      </c>
      <c r="E36" s="3">
        <v>22.0</v>
      </c>
      <c r="F36" s="3" t="s">
        <v>20</v>
      </c>
      <c r="G36" s="3">
        <v>1.0</v>
      </c>
      <c r="H36" s="3">
        <v>40.0</v>
      </c>
      <c r="I36" s="3">
        <v>40.0</v>
      </c>
      <c r="J36" s="2">
        <f t="shared" si="1"/>
        <v>2025</v>
      </c>
      <c r="K36" s="2">
        <f t="shared" si="2"/>
        <v>1</v>
      </c>
      <c r="L36" s="5" t="str">
        <f t="shared" si="3"/>
        <v>NO</v>
      </c>
    </row>
    <row r="37">
      <c r="A37" s="3">
        <v>36.0</v>
      </c>
      <c r="B37" s="4">
        <v>45921.0</v>
      </c>
      <c r="C37" s="3" t="s">
        <v>50</v>
      </c>
      <c r="D37" s="3" t="s">
        <v>10</v>
      </c>
      <c r="E37" s="3">
        <v>52.0</v>
      </c>
      <c r="F37" s="3" t="s">
        <v>20</v>
      </c>
      <c r="G37" s="3">
        <v>4.0</v>
      </c>
      <c r="H37" s="3">
        <v>105.0</v>
      </c>
      <c r="I37" s="3">
        <v>420.0</v>
      </c>
      <c r="J37" s="2">
        <f t="shared" si="1"/>
        <v>2025</v>
      </c>
      <c r="K37" s="2">
        <f t="shared" si="2"/>
        <v>9</v>
      </c>
      <c r="L37" s="5" t="str">
        <f t="shared" si="3"/>
        <v>NO</v>
      </c>
    </row>
    <row r="38">
      <c r="A38" s="3">
        <v>37.0</v>
      </c>
      <c r="B38" s="4">
        <v>45725.0</v>
      </c>
      <c r="C38" s="3" t="s">
        <v>51</v>
      </c>
      <c r="D38" s="3" t="s">
        <v>10</v>
      </c>
      <c r="E38" s="3">
        <v>48.0</v>
      </c>
      <c r="F38" s="3" t="s">
        <v>15</v>
      </c>
      <c r="G38" s="3">
        <v>4.0</v>
      </c>
      <c r="H38" s="3">
        <v>390.0</v>
      </c>
      <c r="I38" s="3">
        <v>1560.0</v>
      </c>
      <c r="J38" s="2">
        <f t="shared" si="1"/>
        <v>2025</v>
      </c>
      <c r="K38" s="2">
        <f t="shared" si="2"/>
        <v>3</v>
      </c>
      <c r="L38" s="5" t="str">
        <f t="shared" si="3"/>
        <v>YES</v>
      </c>
    </row>
    <row r="39">
      <c r="A39" s="3">
        <v>38.0</v>
      </c>
      <c r="B39" s="4">
        <v>45866.0</v>
      </c>
      <c r="C39" s="3" t="s">
        <v>52</v>
      </c>
      <c r="D39" s="3" t="s">
        <v>17</v>
      </c>
      <c r="E39" s="3">
        <v>40.0</v>
      </c>
      <c r="F39" s="3" t="s">
        <v>20</v>
      </c>
      <c r="G39" s="3">
        <v>1.0</v>
      </c>
      <c r="H39" s="3">
        <v>50.0</v>
      </c>
      <c r="I39" s="3">
        <v>50.0</v>
      </c>
      <c r="J39" s="2">
        <f t="shared" si="1"/>
        <v>2025</v>
      </c>
      <c r="K39" s="2">
        <f t="shared" si="2"/>
        <v>7</v>
      </c>
      <c r="L39" s="5" t="str">
        <f t="shared" si="3"/>
        <v>NO</v>
      </c>
    </row>
    <row r="40">
      <c r="A40" s="3">
        <v>39.0</v>
      </c>
      <c r="B40" s="4">
        <v>45874.0</v>
      </c>
      <c r="C40" s="3" t="s">
        <v>53</v>
      </c>
      <c r="D40" s="3" t="s">
        <v>10</v>
      </c>
      <c r="E40" s="3">
        <v>21.0</v>
      </c>
      <c r="F40" s="3" t="s">
        <v>54</v>
      </c>
      <c r="G40" s="3">
        <v>1.0</v>
      </c>
      <c r="H40" s="3">
        <v>75.0</v>
      </c>
      <c r="I40" s="3">
        <v>75.0</v>
      </c>
      <c r="J40" s="2">
        <f t="shared" si="1"/>
        <v>2025</v>
      </c>
      <c r="K40" s="2">
        <f t="shared" si="2"/>
        <v>8</v>
      </c>
      <c r="L40" s="5" t="str">
        <f t="shared" si="3"/>
        <v>NO</v>
      </c>
    </row>
    <row r="41">
      <c r="A41" s="3">
        <v>40.0</v>
      </c>
      <c r="B41" s="4">
        <v>45864.0</v>
      </c>
      <c r="C41" s="3" t="s">
        <v>55</v>
      </c>
      <c r="D41" s="3" t="s">
        <v>10</v>
      </c>
      <c r="E41" s="3">
        <v>30.0</v>
      </c>
      <c r="F41" s="3" t="s">
        <v>22</v>
      </c>
      <c r="G41" s="3">
        <v>2.0</v>
      </c>
      <c r="H41" s="3">
        <v>375.0</v>
      </c>
      <c r="I41" s="3">
        <v>750.0</v>
      </c>
      <c r="J41" s="2">
        <f t="shared" si="1"/>
        <v>2025</v>
      </c>
      <c r="K41" s="2">
        <f t="shared" si="2"/>
        <v>7</v>
      </c>
      <c r="L41" s="5" t="str">
        <f t="shared" si="3"/>
        <v>NO</v>
      </c>
    </row>
    <row r="42">
      <c r="A42" s="3">
        <v>41.0</v>
      </c>
      <c r="B42" s="4">
        <v>45932.0</v>
      </c>
      <c r="C42" s="3" t="s">
        <v>56</v>
      </c>
      <c r="D42" s="3" t="s">
        <v>10</v>
      </c>
      <c r="E42" s="3">
        <v>35.0</v>
      </c>
      <c r="F42" s="3" t="s">
        <v>54</v>
      </c>
      <c r="G42" s="3">
        <v>4.0</v>
      </c>
      <c r="H42" s="3">
        <v>25.0</v>
      </c>
      <c r="I42" s="3">
        <v>100.0</v>
      </c>
      <c r="J42" s="2">
        <f t="shared" si="1"/>
        <v>2025</v>
      </c>
      <c r="K42" s="2">
        <f t="shared" si="2"/>
        <v>10</v>
      </c>
      <c r="L42" s="5" t="str">
        <f t="shared" si="3"/>
        <v>NO</v>
      </c>
    </row>
    <row r="43">
      <c r="A43" s="3">
        <v>42.0</v>
      </c>
      <c r="B43" s="4">
        <v>45894.0</v>
      </c>
      <c r="C43" s="3" t="s">
        <v>57</v>
      </c>
      <c r="D43" s="3" t="s">
        <v>10</v>
      </c>
      <c r="E43" s="3">
        <v>21.0</v>
      </c>
      <c r="F43" s="3" t="s">
        <v>20</v>
      </c>
      <c r="G43" s="3">
        <v>4.0</v>
      </c>
      <c r="H43" s="3">
        <v>40.0</v>
      </c>
      <c r="I43" s="3">
        <v>160.0</v>
      </c>
      <c r="J43" s="2">
        <f t="shared" si="1"/>
        <v>2025</v>
      </c>
      <c r="K43" s="2">
        <f t="shared" si="2"/>
        <v>8</v>
      </c>
      <c r="L43" s="5" t="str">
        <f t="shared" si="3"/>
        <v>NO</v>
      </c>
    </row>
    <row r="44">
      <c r="A44" s="3">
        <v>43.0</v>
      </c>
      <c r="B44" s="4">
        <v>45991.0</v>
      </c>
      <c r="C44" s="3" t="s">
        <v>58</v>
      </c>
      <c r="D44" s="3" t="s">
        <v>10</v>
      </c>
      <c r="E44" s="3">
        <v>28.0</v>
      </c>
      <c r="F44" s="3" t="s">
        <v>15</v>
      </c>
      <c r="G44" s="3">
        <v>1.0</v>
      </c>
      <c r="H44" s="3">
        <v>30.0</v>
      </c>
      <c r="I44" s="3">
        <v>30.0</v>
      </c>
      <c r="J44" s="2">
        <f t="shared" si="1"/>
        <v>2025</v>
      </c>
      <c r="K44" s="2">
        <f t="shared" si="2"/>
        <v>11</v>
      </c>
      <c r="L44" s="5" t="str">
        <f t="shared" si="3"/>
        <v>NO</v>
      </c>
    </row>
    <row r="45">
      <c r="A45" s="3">
        <v>44.0</v>
      </c>
      <c r="B45" s="4">
        <v>45866.0</v>
      </c>
      <c r="C45" s="3" t="s">
        <v>59</v>
      </c>
      <c r="D45" s="3" t="s">
        <v>17</v>
      </c>
      <c r="E45" s="3">
        <v>21.0</v>
      </c>
      <c r="F45" s="3" t="s">
        <v>54</v>
      </c>
      <c r="G45" s="3">
        <v>2.0</v>
      </c>
      <c r="H45" s="3">
        <v>80.0</v>
      </c>
      <c r="I45" s="3">
        <v>160.0</v>
      </c>
      <c r="J45" s="2">
        <f t="shared" si="1"/>
        <v>2025</v>
      </c>
      <c r="K45" s="2">
        <f t="shared" si="2"/>
        <v>7</v>
      </c>
      <c r="L45" s="5" t="str">
        <f t="shared" si="3"/>
        <v>NO</v>
      </c>
    </row>
    <row r="46">
      <c r="A46" s="3">
        <v>45.0</v>
      </c>
      <c r="B46" s="4">
        <v>45742.0</v>
      </c>
      <c r="C46" s="3" t="s">
        <v>60</v>
      </c>
      <c r="D46" s="3" t="s">
        <v>17</v>
      </c>
      <c r="E46" s="3">
        <v>47.0</v>
      </c>
      <c r="F46" s="3" t="s">
        <v>54</v>
      </c>
      <c r="G46" s="3">
        <v>4.0</v>
      </c>
      <c r="H46" s="3">
        <v>5.0</v>
      </c>
      <c r="I46" s="3">
        <v>20.0</v>
      </c>
      <c r="J46" s="2">
        <f t="shared" si="1"/>
        <v>2025</v>
      </c>
      <c r="K46" s="2">
        <f t="shared" si="2"/>
        <v>3</v>
      </c>
      <c r="L46" s="5" t="str">
        <f t="shared" si="3"/>
        <v>NO</v>
      </c>
    </row>
    <row r="47">
      <c r="A47" s="3">
        <v>46.0</v>
      </c>
      <c r="B47" s="4">
        <v>45804.0</v>
      </c>
      <c r="C47" s="3" t="s">
        <v>61</v>
      </c>
      <c r="D47" s="3" t="s">
        <v>17</v>
      </c>
      <c r="E47" s="3">
        <v>27.0</v>
      </c>
      <c r="F47" s="3" t="s">
        <v>54</v>
      </c>
      <c r="G47" s="3">
        <v>5.0</v>
      </c>
      <c r="H47" s="3">
        <v>115.0</v>
      </c>
      <c r="I47" s="3">
        <v>575.0</v>
      </c>
      <c r="J47" s="2">
        <f t="shared" si="1"/>
        <v>2025</v>
      </c>
      <c r="K47" s="2">
        <f t="shared" si="2"/>
        <v>5</v>
      </c>
      <c r="L47" s="5" t="str">
        <f t="shared" si="3"/>
        <v>NO</v>
      </c>
    </row>
    <row r="48">
      <c r="A48" s="3">
        <v>47.0</v>
      </c>
      <c r="B48" s="4">
        <v>45755.0</v>
      </c>
      <c r="C48" s="3" t="s">
        <v>62</v>
      </c>
      <c r="D48" s="3" t="s">
        <v>10</v>
      </c>
      <c r="E48" s="3">
        <v>38.0</v>
      </c>
      <c r="F48" s="3" t="s">
        <v>22</v>
      </c>
      <c r="G48" s="3">
        <v>1.0</v>
      </c>
      <c r="H48" s="3">
        <v>655.0</v>
      </c>
      <c r="I48" s="3">
        <v>655.0</v>
      </c>
      <c r="J48" s="2">
        <f t="shared" si="1"/>
        <v>2025</v>
      </c>
      <c r="K48" s="2">
        <f t="shared" si="2"/>
        <v>4</v>
      </c>
      <c r="L48" s="5" t="str">
        <f t="shared" si="3"/>
        <v>NO</v>
      </c>
    </row>
    <row r="49">
      <c r="A49" s="3">
        <v>48.0</v>
      </c>
      <c r="B49" s="4">
        <v>45687.0</v>
      </c>
      <c r="C49" s="3" t="s">
        <v>63</v>
      </c>
      <c r="D49" s="3" t="s">
        <v>10</v>
      </c>
      <c r="E49" s="3">
        <v>21.0</v>
      </c>
      <c r="F49" s="3" t="s">
        <v>11</v>
      </c>
      <c r="G49" s="3">
        <v>4.0</v>
      </c>
      <c r="H49" s="3">
        <v>200.0</v>
      </c>
      <c r="I49" s="3">
        <v>800.0</v>
      </c>
      <c r="J49" s="2">
        <f t="shared" si="1"/>
        <v>2025</v>
      </c>
      <c r="K49" s="2">
        <f t="shared" si="2"/>
        <v>1</v>
      </c>
      <c r="L49" s="5" t="str">
        <f t="shared" si="3"/>
        <v>NO</v>
      </c>
    </row>
    <row r="50">
      <c r="A50" s="3">
        <v>49.0</v>
      </c>
      <c r="B50" s="4">
        <v>45918.0</v>
      </c>
      <c r="C50" s="3" t="s">
        <v>64</v>
      </c>
      <c r="D50" s="3" t="s">
        <v>10</v>
      </c>
      <c r="E50" s="3">
        <v>33.0</v>
      </c>
      <c r="F50" s="3" t="s">
        <v>11</v>
      </c>
      <c r="G50" s="3">
        <v>1.0</v>
      </c>
      <c r="H50" s="3">
        <v>70.0</v>
      </c>
      <c r="I50" s="3">
        <v>70.0</v>
      </c>
      <c r="J50" s="2">
        <f t="shared" si="1"/>
        <v>2025</v>
      </c>
      <c r="K50" s="2">
        <f t="shared" si="2"/>
        <v>9</v>
      </c>
      <c r="L50" s="5" t="str">
        <f t="shared" si="3"/>
        <v>NO</v>
      </c>
    </row>
    <row r="51">
      <c r="A51" s="3">
        <v>50.0</v>
      </c>
      <c r="B51" s="4">
        <v>45864.0</v>
      </c>
      <c r="C51" s="3" t="s">
        <v>65</v>
      </c>
      <c r="D51" s="3" t="s">
        <v>10</v>
      </c>
      <c r="E51" s="3">
        <v>57.0</v>
      </c>
      <c r="F51" s="3" t="s">
        <v>11</v>
      </c>
      <c r="G51" s="3">
        <v>2.0</v>
      </c>
      <c r="H51" s="3">
        <v>195.0</v>
      </c>
      <c r="I51" s="3">
        <v>390.0</v>
      </c>
      <c r="J51" s="2">
        <f t="shared" si="1"/>
        <v>2025</v>
      </c>
      <c r="K51" s="2">
        <f t="shared" si="2"/>
        <v>7</v>
      </c>
      <c r="L51" s="5" t="str">
        <f t="shared" si="3"/>
        <v>NO</v>
      </c>
    </row>
    <row r="52">
      <c r="A52" s="3">
        <v>51.0</v>
      </c>
      <c r="B52" s="4">
        <v>45699.0</v>
      </c>
      <c r="C52" s="3" t="s">
        <v>66</v>
      </c>
      <c r="D52" s="3" t="s">
        <v>17</v>
      </c>
      <c r="E52" s="3">
        <v>34.0</v>
      </c>
      <c r="F52" s="3" t="s">
        <v>54</v>
      </c>
      <c r="G52" s="3">
        <v>5.0</v>
      </c>
      <c r="H52" s="3">
        <v>110.0</v>
      </c>
      <c r="I52" s="3">
        <v>550.0</v>
      </c>
      <c r="J52" s="2">
        <f t="shared" si="1"/>
        <v>2025</v>
      </c>
      <c r="K52" s="2">
        <f t="shared" si="2"/>
        <v>2</v>
      </c>
      <c r="L52" s="5" t="str">
        <f t="shared" si="3"/>
        <v>NO</v>
      </c>
    </row>
    <row r="53">
      <c r="A53" s="3">
        <v>52.0</v>
      </c>
      <c r="B53" s="4">
        <v>45762.0</v>
      </c>
      <c r="C53" s="3" t="s">
        <v>67</v>
      </c>
      <c r="D53" s="3" t="s">
        <v>17</v>
      </c>
      <c r="E53" s="3">
        <v>26.0</v>
      </c>
      <c r="F53" s="3" t="s">
        <v>22</v>
      </c>
      <c r="G53" s="3">
        <v>3.0</v>
      </c>
      <c r="H53" s="3">
        <v>710.0</v>
      </c>
      <c r="I53" s="3">
        <v>2130.0</v>
      </c>
      <c r="J53" s="2">
        <f t="shared" si="1"/>
        <v>2025</v>
      </c>
      <c r="K53" s="2">
        <f t="shared" si="2"/>
        <v>4</v>
      </c>
      <c r="L53" s="5" t="str">
        <f t="shared" si="3"/>
        <v>YES</v>
      </c>
    </row>
    <row r="54">
      <c r="A54" s="3">
        <v>53.0</v>
      </c>
      <c r="B54" s="4">
        <v>46001.0</v>
      </c>
      <c r="C54" s="3" t="s">
        <v>68</v>
      </c>
      <c r="D54" s="3" t="s">
        <v>10</v>
      </c>
      <c r="E54" s="3">
        <v>18.0</v>
      </c>
      <c r="F54" s="3" t="s">
        <v>22</v>
      </c>
      <c r="G54" s="3">
        <v>3.0</v>
      </c>
      <c r="H54" s="3">
        <v>1270.0</v>
      </c>
      <c r="I54" s="3">
        <v>3810.0</v>
      </c>
      <c r="J54" s="2">
        <f t="shared" si="1"/>
        <v>2025</v>
      </c>
      <c r="K54" s="2">
        <f t="shared" si="2"/>
        <v>12</v>
      </c>
      <c r="L54" s="5" t="str">
        <f t="shared" si="3"/>
        <v>YES</v>
      </c>
    </row>
    <row r="55">
      <c r="A55" s="3">
        <v>54.0</v>
      </c>
      <c r="B55" s="4">
        <v>45892.0</v>
      </c>
      <c r="C55" s="3" t="s">
        <v>69</v>
      </c>
      <c r="D55" s="3" t="s">
        <v>10</v>
      </c>
      <c r="E55" s="3">
        <v>52.0</v>
      </c>
      <c r="F55" s="3" t="s">
        <v>15</v>
      </c>
      <c r="G55" s="3">
        <v>1.0</v>
      </c>
      <c r="H55" s="3">
        <v>385.0</v>
      </c>
      <c r="I55" s="3">
        <v>385.0</v>
      </c>
      <c r="J55" s="2">
        <f t="shared" si="1"/>
        <v>2025</v>
      </c>
      <c r="K55" s="2">
        <f t="shared" si="2"/>
        <v>8</v>
      </c>
      <c r="L55" s="5" t="str">
        <f t="shared" si="3"/>
        <v>NO</v>
      </c>
    </row>
    <row r="56">
      <c r="A56" s="3">
        <v>55.0</v>
      </c>
      <c r="B56" s="4">
        <v>45767.0</v>
      </c>
      <c r="C56" s="3" t="s">
        <v>70</v>
      </c>
      <c r="D56" s="3" t="s">
        <v>17</v>
      </c>
      <c r="E56" s="3">
        <v>22.0</v>
      </c>
      <c r="F56" s="3" t="s">
        <v>15</v>
      </c>
      <c r="G56" s="3">
        <v>2.0</v>
      </c>
      <c r="H56" s="3">
        <v>190.0</v>
      </c>
      <c r="I56" s="3">
        <v>380.0</v>
      </c>
      <c r="J56" s="2">
        <f t="shared" si="1"/>
        <v>2025</v>
      </c>
      <c r="K56" s="2">
        <f t="shared" si="2"/>
        <v>4</v>
      </c>
      <c r="L56" s="5" t="str">
        <f t="shared" si="3"/>
        <v>NO</v>
      </c>
    </row>
    <row r="57">
      <c r="A57" s="3">
        <v>56.0</v>
      </c>
      <c r="B57" s="4">
        <v>45783.0</v>
      </c>
      <c r="C57" s="3" t="s">
        <v>71</v>
      </c>
      <c r="D57" s="3" t="s">
        <v>17</v>
      </c>
      <c r="E57" s="3">
        <v>52.0</v>
      </c>
      <c r="F57" s="3" t="s">
        <v>22</v>
      </c>
      <c r="G57" s="3">
        <v>2.0</v>
      </c>
      <c r="H57" s="3">
        <v>825.0</v>
      </c>
      <c r="I57" s="3">
        <v>1650.0</v>
      </c>
      <c r="J57" s="2">
        <f t="shared" si="1"/>
        <v>2025</v>
      </c>
      <c r="K57" s="2">
        <f t="shared" si="2"/>
        <v>5</v>
      </c>
      <c r="L57" s="5" t="str">
        <f t="shared" si="3"/>
        <v>YES</v>
      </c>
    </row>
    <row r="58">
      <c r="A58" s="3">
        <v>57.0</v>
      </c>
      <c r="B58" s="4">
        <v>46018.0</v>
      </c>
      <c r="C58" s="3" t="s">
        <v>72</v>
      </c>
      <c r="D58" s="3" t="s">
        <v>17</v>
      </c>
      <c r="E58" s="3">
        <v>60.0</v>
      </c>
      <c r="F58" s="3" t="s">
        <v>22</v>
      </c>
      <c r="G58" s="3">
        <v>1.0</v>
      </c>
      <c r="H58" s="3">
        <v>1450.0</v>
      </c>
      <c r="I58" s="3">
        <v>1450.0</v>
      </c>
      <c r="J58" s="2">
        <f t="shared" si="1"/>
        <v>2025</v>
      </c>
      <c r="K58" s="2">
        <f t="shared" si="2"/>
        <v>12</v>
      </c>
      <c r="L58" s="5" t="str">
        <f t="shared" si="3"/>
        <v>YES</v>
      </c>
    </row>
    <row r="59">
      <c r="A59" s="3">
        <v>58.0</v>
      </c>
      <c r="B59" s="4">
        <v>45711.0</v>
      </c>
      <c r="C59" s="3" t="s">
        <v>73</v>
      </c>
      <c r="D59" s="3" t="s">
        <v>10</v>
      </c>
      <c r="E59" s="3">
        <v>53.0</v>
      </c>
      <c r="F59" s="3" t="s">
        <v>20</v>
      </c>
      <c r="G59" s="3">
        <v>1.0</v>
      </c>
      <c r="H59" s="3">
        <v>100.0</v>
      </c>
      <c r="I59" s="3">
        <v>100.0</v>
      </c>
      <c r="J59" s="2">
        <f t="shared" si="1"/>
        <v>2025</v>
      </c>
      <c r="K59" s="2">
        <f t="shared" si="2"/>
        <v>2</v>
      </c>
      <c r="L59" s="5" t="str">
        <f t="shared" si="3"/>
        <v>NO</v>
      </c>
    </row>
    <row r="60">
      <c r="A60" s="3">
        <v>59.0</v>
      </c>
      <c r="B60" s="4">
        <v>45737.0</v>
      </c>
      <c r="C60" s="3" t="s">
        <v>74</v>
      </c>
      <c r="D60" s="3" t="s">
        <v>10</v>
      </c>
      <c r="E60" s="3">
        <v>39.0</v>
      </c>
      <c r="F60" s="3" t="s">
        <v>22</v>
      </c>
      <c r="G60" s="3">
        <v>5.0</v>
      </c>
      <c r="H60" s="3">
        <v>820.0</v>
      </c>
      <c r="I60" s="3">
        <v>4100.0</v>
      </c>
      <c r="J60" s="2">
        <f t="shared" si="1"/>
        <v>2025</v>
      </c>
      <c r="K60" s="2">
        <f t="shared" si="2"/>
        <v>3</v>
      </c>
      <c r="L60" s="5" t="str">
        <f t="shared" si="3"/>
        <v>YES</v>
      </c>
    </row>
    <row r="61">
      <c r="A61" s="3">
        <v>60.0</v>
      </c>
      <c r="B61" s="4">
        <v>45762.0</v>
      </c>
      <c r="C61" s="3" t="s">
        <v>75</v>
      </c>
      <c r="D61" s="3" t="s">
        <v>17</v>
      </c>
      <c r="E61" s="3">
        <v>21.0</v>
      </c>
      <c r="F61" s="3" t="s">
        <v>22</v>
      </c>
      <c r="G61" s="3">
        <v>4.0</v>
      </c>
      <c r="H61" s="3">
        <v>1390.0</v>
      </c>
      <c r="I61" s="3">
        <v>5560.0</v>
      </c>
      <c r="J61" s="2">
        <f t="shared" si="1"/>
        <v>2025</v>
      </c>
      <c r="K61" s="2">
        <f t="shared" si="2"/>
        <v>4</v>
      </c>
      <c r="L61" s="5" t="str">
        <f t="shared" si="3"/>
        <v>YES</v>
      </c>
    </row>
    <row r="62">
      <c r="A62" s="3">
        <v>61.0</v>
      </c>
      <c r="B62" s="4">
        <v>45705.0</v>
      </c>
      <c r="C62" s="3" t="s">
        <v>76</v>
      </c>
      <c r="D62" s="3" t="s">
        <v>10</v>
      </c>
      <c r="E62" s="3">
        <v>39.0</v>
      </c>
      <c r="F62" s="3" t="s">
        <v>54</v>
      </c>
      <c r="G62" s="3">
        <v>1.0</v>
      </c>
      <c r="H62" s="3">
        <v>45.0</v>
      </c>
      <c r="I62" s="3">
        <v>45.0</v>
      </c>
      <c r="J62" s="2">
        <f t="shared" si="1"/>
        <v>2025</v>
      </c>
      <c r="K62" s="2">
        <f t="shared" si="2"/>
        <v>2</v>
      </c>
      <c r="L62" s="5" t="str">
        <f t="shared" si="3"/>
        <v>NO</v>
      </c>
    </row>
    <row r="63">
      <c r="A63" s="3">
        <v>62.0</v>
      </c>
      <c r="B63" s="4">
        <v>45724.0</v>
      </c>
      <c r="C63" s="3" t="s">
        <v>77</v>
      </c>
      <c r="D63" s="3" t="s">
        <v>17</v>
      </c>
      <c r="E63" s="3">
        <v>53.0</v>
      </c>
      <c r="F63" s="3" t="s">
        <v>22</v>
      </c>
      <c r="G63" s="3">
        <v>4.0</v>
      </c>
      <c r="H63" s="3">
        <v>510.0</v>
      </c>
      <c r="I63" s="3">
        <v>2040.0</v>
      </c>
      <c r="J63" s="2">
        <f t="shared" si="1"/>
        <v>2025</v>
      </c>
      <c r="K63" s="2">
        <f t="shared" si="2"/>
        <v>3</v>
      </c>
      <c r="L63" s="5" t="str">
        <f t="shared" si="3"/>
        <v>YES</v>
      </c>
    </row>
    <row r="64">
      <c r="A64" s="3">
        <v>63.0</v>
      </c>
      <c r="B64" s="4">
        <v>45662.0</v>
      </c>
      <c r="C64" s="3" t="s">
        <v>78</v>
      </c>
      <c r="D64" s="3" t="s">
        <v>10</v>
      </c>
      <c r="E64" s="3">
        <v>41.0</v>
      </c>
      <c r="F64" s="3" t="s">
        <v>11</v>
      </c>
      <c r="G64" s="3">
        <v>2.0</v>
      </c>
      <c r="H64" s="3">
        <v>35.0</v>
      </c>
      <c r="I64" s="3">
        <v>70.0</v>
      </c>
      <c r="J64" s="2">
        <f t="shared" si="1"/>
        <v>2025</v>
      </c>
      <c r="K64" s="2">
        <f t="shared" si="2"/>
        <v>1</v>
      </c>
      <c r="L64" s="5" t="str">
        <f t="shared" si="3"/>
        <v>NO</v>
      </c>
    </row>
    <row r="65">
      <c r="A65" s="3">
        <v>64.0</v>
      </c>
      <c r="B65" s="4">
        <v>45956.0</v>
      </c>
      <c r="C65" s="3" t="s">
        <v>79</v>
      </c>
      <c r="D65" s="3" t="s">
        <v>10</v>
      </c>
      <c r="E65" s="3">
        <v>20.0</v>
      </c>
      <c r="F65" s="3" t="s">
        <v>15</v>
      </c>
      <c r="G65" s="3">
        <v>4.0</v>
      </c>
      <c r="H65" s="3">
        <v>115.0</v>
      </c>
      <c r="I65" s="3">
        <v>460.0</v>
      </c>
      <c r="J65" s="2">
        <f t="shared" si="1"/>
        <v>2025</v>
      </c>
      <c r="K65" s="2">
        <f t="shared" si="2"/>
        <v>10</v>
      </c>
      <c r="L65" s="5" t="str">
        <f t="shared" si="3"/>
        <v>NO</v>
      </c>
    </row>
    <row r="66">
      <c r="A66" s="3">
        <v>65.0</v>
      </c>
      <c r="B66" s="4">
        <v>45815.0</v>
      </c>
      <c r="C66" s="3" t="s">
        <v>80</v>
      </c>
      <c r="D66" s="3" t="s">
        <v>10</v>
      </c>
      <c r="E66" s="3">
        <v>33.0</v>
      </c>
      <c r="F66" s="3" t="s">
        <v>22</v>
      </c>
      <c r="G66" s="3">
        <v>3.0</v>
      </c>
      <c r="H66" s="3">
        <v>200.0</v>
      </c>
      <c r="I66" s="3">
        <v>600.0</v>
      </c>
      <c r="J66" s="2">
        <f t="shared" si="1"/>
        <v>2025</v>
      </c>
      <c r="K66" s="2">
        <f t="shared" si="2"/>
        <v>6</v>
      </c>
      <c r="L66" s="5" t="str">
        <f t="shared" si="3"/>
        <v>NO</v>
      </c>
    </row>
    <row r="67">
      <c r="A67" s="3">
        <v>66.0</v>
      </c>
      <c r="B67" s="4">
        <v>45999.0</v>
      </c>
      <c r="C67" s="3" t="s">
        <v>81</v>
      </c>
      <c r="D67" s="3" t="s">
        <v>17</v>
      </c>
      <c r="E67" s="3">
        <v>57.0</v>
      </c>
      <c r="F67" s="3" t="s">
        <v>11</v>
      </c>
      <c r="G67" s="3">
        <v>5.0</v>
      </c>
      <c r="H67" s="3">
        <v>125.0</v>
      </c>
      <c r="I67" s="3">
        <v>625.0</v>
      </c>
      <c r="J67" s="2">
        <f t="shared" si="1"/>
        <v>2025</v>
      </c>
      <c r="K67" s="2">
        <f t="shared" si="2"/>
        <v>12</v>
      </c>
      <c r="L67" s="5" t="str">
        <f t="shared" si="3"/>
        <v>NO</v>
      </c>
    </row>
    <row r="68">
      <c r="A68" s="3">
        <v>67.0</v>
      </c>
      <c r="B68" s="4">
        <v>45737.0</v>
      </c>
      <c r="C68" s="3" t="s">
        <v>82</v>
      </c>
      <c r="D68" s="3" t="s">
        <v>17</v>
      </c>
      <c r="E68" s="3">
        <v>19.0</v>
      </c>
      <c r="F68" s="3" t="s">
        <v>20</v>
      </c>
      <c r="G68" s="3">
        <v>2.0</v>
      </c>
      <c r="H68" s="3">
        <v>70.0</v>
      </c>
      <c r="I68" s="3">
        <v>140.0</v>
      </c>
      <c r="J68" s="2">
        <f t="shared" si="1"/>
        <v>2025</v>
      </c>
      <c r="K68" s="2">
        <f t="shared" si="2"/>
        <v>3</v>
      </c>
      <c r="L68" s="5" t="str">
        <f t="shared" si="3"/>
        <v>NO</v>
      </c>
    </row>
    <row r="69">
      <c r="A69" s="3">
        <v>68.0</v>
      </c>
      <c r="B69" s="4">
        <v>45749.0</v>
      </c>
      <c r="C69" s="3" t="s">
        <v>83</v>
      </c>
      <c r="D69" s="3" t="s">
        <v>17</v>
      </c>
      <c r="E69" s="3">
        <v>28.0</v>
      </c>
      <c r="F69" s="3" t="s">
        <v>22</v>
      </c>
      <c r="G69" s="3">
        <v>2.0</v>
      </c>
      <c r="H69" s="3">
        <v>1150.0</v>
      </c>
      <c r="I69" s="3">
        <v>2300.0</v>
      </c>
      <c r="J69" s="2">
        <f t="shared" si="1"/>
        <v>2025</v>
      </c>
      <c r="K69" s="2">
        <f t="shared" si="2"/>
        <v>4</v>
      </c>
      <c r="L69" s="5" t="str">
        <f t="shared" si="3"/>
        <v>YES</v>
      </c>
    </row>
    <row r="70">
      <c r="A70" s="3">
        <v>69.0</v>
      </c>
      <c r="B70" s="4">
        <v>46017.0</v>
      </c>
      <c r="C70" s="3" t="s">
        <v>84</v>
      </c>
      <c r="D70" s="3" t="s">
        <v>17</v>
      </c>
      <c r="E70" s="3">
        <v>32.0</v>
      </c>
      <c r="F70" s="3" t="s">
        <v>11</v>
      </c>
      <c r="G70" s="3">
        <v>1.0</v>
      </c>
      <c r="H70" s="3">
        <v>135.0</v>
      </c>
      <c r="I70" s="3">
        <v>135.0</v>
      </c>
      <c r="J70" s="2">
        <f t="shared" si="1"/>
        <v>2025</v>
      </c>
      <c r="K70" s="2">
        <f t="shared" si="2"/>
        <v>12</v>
      </c>
      <c r="L70" s="5" t="str">
        <f t="shared" si="3"/>
        <v>NO</v>
      </c>
    </row>
    <row r="71">
      <c r="A71" s="3">
        <v>70.0</v>
      </c>
      <c r="B71" s="4">
        <v>45760.0</v>
      </c>
      <c r="C71" s="3" t="s">
        <v>85</v>
      </c>
      <c r="D71" s="3" t="s">
        <v>10</v>
      </c>
      <c r="E71" s="3">
        <v>32.0</v>
      </c>
      <c r="F71" s="3" t="s">
        <v>54</v>
      </c>
      <c r="G71" s="3">
        <v>3.0</v>
      </c>
      <c r="H71" s="3">
        <v>60.0</v>
      </c>
      <c r="I71" s="3">
        <v>180.0</v>
      </c>
      <c r="J71" s="2">
        <f t="shared" si="1"/>
        <v>2025</v>
      </c>
      <c r="K71" s="2">
        <f t="shared" si="2"/>
        <v>4</v>
      </c>
      <c r="L71" s="5" t="str">
        <f t="shared" si="3"/>
        <v>NO</v>
      </c>
    </row>
    <row r="72">
      <c r="A72" s="3">
        <v>71.0</v>
      </c>
      <c r="B72" s="4">
        <v>45670.0</v>
      </c>
      <c r="C72" s="3" t="s">
        <v>86</v>
      </c>
      <c r="D72" s="3" t="s">
        <v>17</v>
      </c>
      <c r="E72" s="3">
        <v>22.0</v>
      </c>
      <c r="F72" s="3" t="s">
        <v>20</v>
      </c>
      <c r="G72" s="3">
        <v>3.0</v>
      </c>
      <c r="H72" s="3">
        <v>145.0</v>
      </c>
      <c r="I72" s="3">
        <v>435.0</v>
      </c>
      <c r="J72" s="2">
        <f t="shared" si="1"/>
        <v>2025</v>
      </c>
      <c r="K72" s="2">
        <f t="shared" si="2"/>
        <v>1</v>
      </c>
      <c r="L72" s="5" t="str">
        <f t="shared" si="3"/>
        <v>NO</v>
      </c>
    </row>
    <row r="73">
      <c r="A73" s="3">
        <v>72.0</v>
      </c>
      <c r="B73" s="4">
        <v>45800.0</v>
      </c>
      <c r="C73" s="3" t="s">
        <v>87</v>
      </c>
      <c r="D73" s="3" t="s">
        <v>17</v>
      </c>
      <c r="E73" s="3">
        <v>19.0</v>
      </c>
      <c r="F73" s="3" t="s">
        <v>22</v>
      </c>
      <c r="G73" s="3">
        <v>4.0</v>
      </c>
      <c r="H73" s="3">
        <v>1400.0</v>
      </c>
      <c r="I73" s="3">
        <v>5600.0</v>
      </c>
      <c r="J73" s="2">
        <f t="shared" si="1"/>
        <v>2025</v>
      </c>
      <c r="K73" s="2">
        <f t="shared" si="2"/>
        <v>5</v>
      </c>
      <c r="L73" s="5" t="str">
        <f t="shared" si="3"/>
        <v>YES</v>
      </c>
    </row>
    <row r="74">
      <c r="A74" s="3">
        <v>73.0</v>
      </c>
      <c r="B74" s="4">
        <v>45717.0</v>
      </c>
      <c r="C74" s="3" t="s">
        <v>88</v>
      </c>
      <c r="D74" s="3" t="s">
        <v>17</v>
      </c>
      <c r="E74" s="3">
        <v>20.0</v>
      </c>
      <c r="F74" s="3" t="s">
        <v>22</v>
      </c>
      <c r="G74" s="3">
        <v>5.0</v>
      </c>
      <c r="H74" s="3">
        <v>555.0</v>
      </c>
      <c r="I74" s="3">
        <v>2775.0</v>
      </c>
      <c r="J74" s="2">
        <f t="shared" si="1"/>
        <v>2025</v>
      </c>
      <c r="K74" s="2">
        <f t="shared" si="2"/>
        <v>3</v>
      </c>
      <c r="L74" s="5" t="str">
        <f t="shared" si="3"/>
        <v>YES</v>
      </c>
    </row>
    <row r="75">
      <c r="A75" s="3">
        <v>74.0</v>
      </c>
      <c r="B75" s="4">
        <v>45713.0</v>
      </c>
      <c r="C75" s="3" t="s">
        <v>89</v>
      </c>
      <c r="D75" s="3" t="s">
        <v>17</v>
      </c>
      <c r="E75" s="3">
        <v>45.0</v>
      </c>
      <c r="F75" s="3" t="s">
        <v>15</v>
      </c>
      <c r="G75" s="3">
        <v>3.0</v>
      </c>
      <c r="H75" s="3">
        <v>300.0</v>
      </c>
      <c r="I75" s="3">
        <v>900.0</v>
      </c>
      <c r="J75" s="2">
        <f t="shared" si="1"/>
        <v>2025</v>
      </c>
      <c r="K75" s="2">
        <f t="shared" si="2"/>
        <v>2</v>
      </c>
      <c r="L75" s="5" t="str">
        <f t="shared" si="3"/>
        <v>NO</v>
      </c>
    </row>
    <row r="76">
      <c r="A76" s="3">
        <v>75.0</v>
      </c>
      <c r="B76" s="4">
        <v>45968.0</v>
      </c>
      <c r="C76" s="3" t="s">
        <v>90</v>
      </c>
      <c r="D76" s="3" t="s">
        <v>10</v>
      </c>
      <c r="E76" s="3">
        <v>34.0</v>
      </c>
      <c r="F76" s="3" t="s">
        <v>15</v>
      </c>
      <c r="G76" s="3">
        <v>4.0</v>
      </c>
      <c r="H76" s="3">
        <v>95.0</v>
      </c>
      <c r="I76" s="3">
        <v>380.0</v>
      </c>
      <c r="J76" s="2">
        <f t="shared" si="1"/>
        <v>2025</v>
      </c>
      <c r="K76" s="2">
        <f t="shared" si="2"/>
        <v>11</v>
      </c>
      <c r="L76" s="5" t="str">
        <f t="shared" si="3"/>
        <v>NO</v>
      </c>
    </row>
    <row r="77">
      <c r="A77" s="3">
        <v>76.0</v>
      </c>
      <c r="B77" s="4">
        <v>45680.0</v>
      </c>
      <c r="C77" s="3" t="s">
        <v>91</v>
      </c>
      <c r="D77" s="3" t="s">
        <v>10</v>
      </c>
      <c r="E77" s="3">
        <v>41.0</v>
      </c>
      <c r="F77" s="3" t="s">
        <v>54</v>
      </c>
      <c r="G77" s="3">
        <v>5.0</v>
      </c>
      <c r="H77" s="3">
        <v>5.0</v>
      </c>
      <c r="I77" s="3">
        <v>25.0</v>
      </c>
      <c r="J77" s="2">
        <f t="shared" si="1"/>
        <v>2025</v>
      </c>
      <c r="K77" s="2">
        <f t="shared" si="2"/>
        <v>1</v>
      </c>
      <c r="L77" s="5" t="str">
        <f t="shared" si="3"/>
        <v>NO</v>
      </c>
    </row>
    <row r="78">
      <c r="A78" s="3">
        <v>77.0</v>
      </c>
      <c r="B78" s="4">
        <v>45878.0</v>
      </c>
      <c r="C78" s="3" t="s">
        <v>92</v>
      </c>
      <c r="D78" s="3" t="s">
        <v>17</v>
      </c>
      <c r="E78" s="3">
        <v>60.0</v>
      </c>
      <c r="F78" s="3" t="s">
        <v>11</v>
      </c>
      <c r="G78" s="3">
        <v>3.0</v>
      </c>
      <c r="H78" s="3">
        <v>225.0</v>
      </c>
      <c r="I78" s="3">
        <v>675.0</v>
      </c>
      <c r="J78" s="2">
        <f t="shared" si="1"/>
        <v>2025</v>
      </c>
      <c r="K78" s="2">
        <f t="shared" si="2"/>
        <v>8</v>
      </c>
      <c r="L78" s="5" t="str">
        <f t="shared" si="3"/>
        <v>NO</v>
      </c>
    </row>
    <row r="79">
      <c r="A79" s="3">
        <v>78.0</v>
      </c>
      <c r="B79" s="4">
        <v>45721.0</v>
      </c>
      <c r="C79" s="3" t="s">
        <v>93</v>
      </c>
      <c r="D79" s="3" t="s">
        <v>17</v>
      </c>
      <c r="E79" s="3">
        <v>38.0</v>
      </c>
      <c r="F79" s="3" t="s">
        <v>22</v>
      </c>
      <c r="G79" s="3">
        <v>3.0</v>
      </c>
      <c r="H79" s="3">
        <v>1395.0</v>
      </c>
      <c r="I79" s="3">
        <v>4185.0</v>
      </c>
      <c r="J79" s="2">
        <f t="shared" si="1"/>
        <v>2025</v>
      </c>
      <c r="K79" s="2">
        <f t="shared" si="2"/>
        <v>3</v>
      </c>
      <c r="L79" s="5" t="str">
        <f t="shared" si="3"/>
        <v>YES</v>
      </c>
    </row>
    <row r="80">
      <c r="A80" s="3">
        <v>79.0</v>
      </c>
      <c r="B80" s="4">
        <v>45864.0</v>
      </c>
      <c r="C80" s="3" t="s">
        <v>94</v>
      </c>
      <c r="D80" s="3" t="s">
        <v>17</v>
      </c>
      <c r="E80" s="3">
        <v>60.0</v>
      </c>
      <c r="F80" s="3" t="s">
        <v>22</v>
      </c>
      <c r="G80" s="3">
        <v>2.0</v>
      </c>
      <c r="H80" s="3">
        <v>425.0</v>
      </c>
      <c r="I80" s="3">
        <v>850.0</v>
      </c>
      <c r="J80" s="2">
        <f t="shared" si="1"/>
        <v>2025</v>
      </c>
      <c r="K80" s="2">
        <f t="shared" si="2"/>
        <v>7</v>
      </c>
      <c r="L80" s="5" t="str">
        <f t="shared" si="3"/>
        <v>NO</v>
      </c>
    </row>
    <row r="81">
      <c r="A81" s="3">
        <v>80.0</v>
      </c>
      <c r="B81" s="4">
        <v>45852.0</v>
      </c>
      <c r="C81" s="3" t="s">
        <v>95</v>
      </c>
      <c r="D81" s="3" t="s">
        <v>10</v>
      </c>
      <c r="E81" s="3">
        <v>37.0</v>
      </c>
      <c r="F81" s="3" t="s">
        <v>20</v>
      </c>
      <c r="G81" s="3">
        <v>4.0</v>
      </c>
      <c r="H81" s="3">
        <v>115.0</v>
      </c>
      <c r="I81" s="3">
        <v>460.0</v>
      </c>
      <c r="J81" s="2">
        <f t="shared" si="1"/>
        <v>2025</v>
      </c>
      <c r="K81" s="2">
        <f t="shared" si="2"/>
        <v>7</v>
      </c>
      <c r="L81" s="5" t="str">
        <f t="shared" si="3"/>
        <v>NO</v>
      </c>
    </row>
    <row r="82">
      <c r="A82" s="3">
        <v>81.0</v>
      </c>
      <c r="B82" s="4">
        <v>45804.0</v>
      </c>
      <c r="C82" s="3" t="s">
        <v>96</v>
      </c>
      <c r="D82" s="3" t="s">
        <v>17</v>
      </c>
      <c r="E82" s="3">
        <v>47.0</v>
      </c>
      <c r="F82" s="3" t="s">
        <v>20</v>
      </c>
      <c r="G82" s="3">
        <v>5.0</v>
      </c>
      <c r="H82" s="3">
        <v>155.0</v>
      </c>
      <c r="I82" s="3">
        <v>775.0</v>
      </c>
      <c r="J82" s="2">
        <f t="shared" si="1"/>
        <v>2025</v>
      </c>
      <c r="K82" s="2">
        <f t="shared" si="2"/>
        <v>5</v>
      </c>
      <c r="L82" s="5" t="str">
        <f t="shared" si="3"/>
        <v>NO</v>
      </c>
    </row>
    <row r="83">
      <c r="A83" s="3">
        <v>82.0</v>
      </c>
      <c r="B83" s="4">
        <v>45884.0</v>
      </c>
      <c r="C83" s="3" t="s">
        <v>97</v>
      </c>
      <c r="D83" s="3" t="s">
        <v>17</v>
      </c>
      <c r="E83" s="3">
        <v>28.0</v>
      </c>
      <c r="F83" s="3" t="s">
        <v>54</v>
      </c>
      <c r="G83" s="3">
        <v>2.0</v>
      </c>
      <c r="H83" s="3">
        <v>110.0</v>
      </c>
      <c r="I83" s="3">
        <v>220.0</v>
      </c>
      <c r="J83" s="2">
        <f t="shared" si="1"/>
        <v>2025</v>
      </c>
      <c r="K83" s="2">
        <f t="shared" si="2"/>
        <v>8</v>
      </c>
      <c r="L83" s="5" t="str">
        <f t="shared" si="3"/>
        <v>NO</v>
      </c>
    </row>
    <row r="84">
      <c r="A84" s="3">
        <v>83.0</v>
      </c>
      <c r="B84" s="4">
        <v>45995.0</v>
      </c>
      <c r="C84" s="3" t="s">
        <v>98</v>
      </c>
      <c r="D84" s="3" t="s">
        <v>17</v>
      </c>
      <c r="E84" s="3">
        <v>23.0</v>
      </c>
      <c r="F84" s="3" t="s">
        <v>11</v>
      </c>
      <c r="G84" s="3">
        <v>5.0</v>
      </c>
      <c r="H84" s="3">
        <v>105.0</v>
      </c>
      <c r="I84" s="3">
        <v>525.0</v>
      </c>
      <c r="J84" s="2">
        <f t="shared" si="1"/>
        <v>2025</v>
      </c>
      <c r="K84" s="2">
        <f t="shared" si="2"/>
        <v>12</v>
      </c>
      <c r="L84" s="5" t="str">
        <f t="shared" si="3"/>
        <v>NO</v>
      </c>
    </row>
    <row r="85">
      <c r="A85" s="3">
        <v>84.0</v>
      </c>
      <c r="B85" s="4">
        <v>45778.0</v>
      </c>
      <c r="C85" s="3" t="s">
        <v>99</v>
      </c>
      <c r="D85" s="3" t="s">
        <v>10</v>
      </c>
      <c r="E85" s="3">
        <v>19.0</v>
      </c>
      <c r="F85" s="3" t="s">
        <v>22</v>
      </c>
      <c r="G85" s="3">
        <v>2.0</v>
      </c>
      <c r="H85" s="3">
        <v>675.0</v>
      </c>
      <c r="I85" s="3">
        <v>1350.0</v>
      </c>
      <c r="J85" s="2">
        <f t="shared" si="1"/>
        <v>2025</v>
      </c>
      <c r="K85" s="2">
        <f t="shared" si="2"/>
        <v>5</v>
      </c>
      <c r="L85" s="5" t="str">
        <f t="shared" si="3"/>
        <v>YES</v>
      </c>
    </row>
    <row r="86">
      <c r="A86" s="3">
        <v>85.0</v>
      </c>
      <c r="B86" s="4">
        <v>45681.0</v>
      </c>
      <c r="C86" s="3" t="s">
        <v>100</v>
      </c>
      <c r="D86" s="3" t="s">
        <v>10</v>
      </c>
      <c r="E86" s="3">
        <v>47.0</v>
      </c>
      <c r="F86" s="3" t="s">
        <v>20</v>
      </c>
      <c r="G86" s="3">
        <v>5.0</v>
      </c>
      <c r="H86" s="3">
        <v>170.0</v>
      </c>
      <c r="I86" s="3">
        <v>850.0</v>
      </c>
      <c r="J86" s="2">
        <f t="shared" si="1"/>
        <v>2025</v>
      </c>
      <c r="K86" s="2">
        <f t="shared" si="2"/>
        <v>1</v>
      </c>
      <c r="L86" s="5" t="str">
        <f t="shared" si="3"/>
        <v>NO</v>
      </c>
    </row>
    <row r="87">
      <c r="A87" s="3">
        <v>86.0</v>
      </c>
      <c r="B87" s="4">
        <v>45870.0</v>
      </c>
      <c r="C87" s="3" t="s">
        <v>101</v>
      </c>
      <c r="D87" s="3" t="s">
        <v>17</v>
      </c>
      <c r="E87" s="3">
        <v>43.0</v>
      </c>
      <c r="F87" s="3" t="s">
        <v>15</v>
      </c>
      <c r="G87" s="3">
        <v>4.0</v>
      </c>
      <c r="H87" s="3">
        <v>145.0</v>
      </c>
      <c r="I87" s="3">
        <v>580.0</v>
      </c>
      <c r="J87" s="2">
        <f t="shared" si="1"/>
        <v>2025</v>
      </c>
      <c r="K87" s="2">
        <f t="shared" si="2"/>
        <v>8</v>
      </c>
      <c r="L87" s="5" t="str">
        <f t="shared" si="3"/>
        <v>NO</v>
      </c>
    </row>
    <row r="88">
      <c r="A88" s="3">
        <v>87.0</v>
      </c>
      <c r="B88" s="4">
        <v>45782.0</v>
      </c>
      <c r="C88" s="3" t="s">
        <v>102</v>
      </c>
      <c r="D88" s="3" t="s">
        <v>17</v>
      </c>
      <c r="E88" s="3">
        <v>32.0</v>
      </c>
      <c r="F88" s="3" t="s">
        <v>20</v>
      </c>
      <c r="G88" s="3">
        <v>1.0</v>
      </c>
      <c r="H88" s="3">
        <v>20.0</v>
      </c>
      <c r="I88" s="3">
        <v>20.0</v>
      </c>
      <c r="J88" s="2">
        <f t="shared" si="1"/>
        <v>2025</v>
      </c>
      <c r="K88" s="2">
        <f t="shared" si="2"/>
        <v>5</v>
      </c>
      <c r="L88" s="5" t="str">
        <f t="shared" si="3"/>
        <v>NO</v>
      </c>
    </row>
    <row r="89">
      <c r="A89" s="3">
        <v>88.0</v>
      </c>
      <c r="B89" s="4">
        <v>45748.0</v>
      </c>
      <c r="C89" s="3" t="s">
        <v>103</v>
      </c>
      <c r="D89" s="3" t="s">
        <v>10</v>
      </c>
      <c r="E89" s="3">
        <v>25.0</v>
      </c>
      <c r="F89" s="3" t="s">
        <v>15</v>
      </c>
      <c r="G89" s="3">
        <v>1.0</v>
      </c>
      <c r="H89" s="3">
        <v>320.0</v>
      </c>
      <c r="I89" s="3">
        <v>320.0</v>
      </c>
      <c r="J89" s="2">
        <f t="shared" si="1"/>
        <v>2025</v>
      </c>
      <c r="K89" s="2">
        <f t="shared" si="2"/>
        <v>4</v>
      </c>
      <c r="L89" s="5" t="str">
        <f t="shared" si="3"/>
        <v>NO</v>
      </c>
    </row>
    <row r="90">
      <c r="A90" s="3">
        <v>89.0</v>
      </c>
      <c r="B90" s="4">
        <v>45891.0</v>
      </c>
      <c r="C90" s="3" t="s">
        <v>104</v>
      </c>
      <c r="D90" s="3" t="s">
        <v>17</v>
      </c>
      <c r="E90" s="3">
        <v>46.0</v>
      </c>
      <c r="F90" s="3" t="s">
        <v>20</v>
      </c>
      <c r="G90" s="3">
        <v>5.0</v>
      </c>
      <c r="H90" s="3">
        <v>165.0</v>
      </c>
      <c r="I90" s="3">
        <v>825.0</v>
      </c>
      <c r="J90" s="2">
        <f t="shared" si="1"/>
        <v>2025</v>
      </c>
      <c r="K90" s="2">
        <f t="shared" si="2"/>
        <v>8</v>
      </c>
      <c r="L90" s="5" t="str">
        <f t="shared" si="3"/>
        <v>NO</v>
      </c>
    </row>
    <row r="91">
      <c r="A91" s="3">
        <v>90.0</v>
      </c>
      <c r="B91" s="4">
        <v>45971.0</v>
      </c>
      <c r="C91" s="3" t="s">
        <v>105</v>
      </c>
      <c r="D91" s="3" t="s">
        <v>17</v>
      </c>
      <c r="E91" s="3">
        <v>28.0</v>
      </c>
      <c r="F91" s="3" t="s">
        <v>15</v>
      </c>
      <c r="G91" s="3">
        <v>5.0</v>
      </c>
      <c r="H91" s="3">
        <v>295.0</v>
      </c>
      <c r="I91" s="3">
        <v>1475.0</v>
      </c>
      <c r="J91" s="2">
        <f t="shared" si="1"/>
        <v>2025</v>
      </c>
      <c r="K91" s="2">
        <f t="shared" si="2"/>
        <v>11</v>
      </c>
      <c r="L91" s="5" t="str">
        <f t="shared" si="3"/>
        <v>YES</v>
      </c>
    </row>
    <row r="92">
      <c r="A92" s="3">
        <v>91.0</v>
      </c>
      <c r="B92" s="4">
        <v>45901.0</v>
      </c>
      <c r="C92" s="3" t="s">
        <v>106</v>
      </c>
      <c r="D92" s="3" t="s">
        <v>17</v>
      </c>
      <c r="E92" s="3">
        <v>51.0</v>
      </c>
      <c r="F92" s="3" t="s">
        <v>54</v>
      </c>
      <c r="G92" s="3">
        <v>2.0</v>
      </c>
      <c r="H92" s="3">
        <v>45.0</v>
      </c>
      <c r="I92" s="3">
        <v>90.0</v>
      </c>
      <c r="J92" s="2">
        <f t="shared" si="1"/>
        <v>2025</v>
      </c>
      <c r="K92" s="2">
        <f t="shared" si="2"/>
        <v>9</v>
      </c>
      <c r="L92" s="5" t="str">
        <f t="shared" si="3"/>
        <v>NO</v>
      </c>
    </row>
    <row r="93">
      <c r="A93" s="3">
        <v>92.0</v>
      </c>
      <c r="B93" s="4">
        <v>45906.0</v>
      </c>
      <c r="C93" s="3" t="s">
        <v>107</v>
      </c>
      <c r="D93" s="3" t="s">
        <v>10</v>
      </c>
      <c r="E93" s="3">
        <v>36.0</v>
      </c>
      <c r="F93" s="3" t="s">
        <v>20</v>
      </c>
      <c r="G93" s="3">
        <v>4.0</v>
      </c>
      <c r="H93" s="3">
        <v>105.0</v>
      </c>
      <c r="I93" s="3">
        <v>420.0</v>
      </c>
      <c r="J93" s="2">
        <f t="shared" si="1"/>
        <v>2025</v>
      </c>
      <c r="K93" s="2">
        <f t="shared" si="2"/>
        <v>9</v>
      </c>
      <c r="L93" s="5" t="str">
        <f t="shared" si="3"/>
        <v>NO</v>
      </c>
    </row>
    <row r="94">
      <c r="A94" s="3">
        <v>93.0</v>
      </c>
      <c r="B94" s="4">
        <v>45778.0</v>
      </c>
      <c r="C94" s="3" t="s">
        <v>108</v>
      </c>
      <c r="D94" s="3" t="s">
        <v>10</v>
      </c>
      <c r="E94" s="3">
        <v>26.0</v>
      </c>
      <c r="F94" s="3" t="s">
        <v>22</v>
      </c>
      <c r="G94" s="3">
        <v>3.0</v>
      </c>
      <c r="H94" s="3">
        <v>955.0</v>
      </c>
      <c r="I94" s="3">
        <v>2865.0</v>
      </c>
      <c r="J94" s="2">
        <f t="shared" si="1"/>
        <v>2025</v>
      </c>
      <c r="K94" s="2">
        <f t="shared" si="2"/>
        <v>5</v>
      </c>
      <c r="L94" s="5" t="str">
        <f t="shared" si="3"/>
        <v>YES</v>
      </c>
    </row>
    <row r="95">
      <c r="A95" s="3">
        <v>94.0</v>
      </c>
      <c r="B95" s="4">
        <v>45735.0</v>
      </c>
      <c r="C95" s="3" t="s">
        <v>109</v>
      </c>
      <c r="D95" s="3" t="s">
        <v>10</v>
      </c>
      <c r="E95" s="3">
        <v>22.0</v>
      </c>
      <c r="F95" s="3" t="s">
        <v>20</v>
      </c>
      <c r="G95" s="3">
        <v>2.0</v>
      </c>
      <c r="H95" s="3">
        <v>140.0</v>
      </c>
      <c r="I95" s="3">
        <v>280.0</v>
      </c>
      <c r="J95" s="2">
        <f t="shared" si="1"/>
        <v>2025</v>
      </c>
      <c r="K95" s="2">
        <f t="shared" si="2"/>
        <v>3</v>
      </c>
      <c r="L95" s="5" t="str">
        <f t="shared" si="3"/>
        <v>NO</v>
      </c>
    </row>
    <row r="96">
      <c r="A96" s="3">
        <v>95.0</v>
      </c>
      <c r="B96" s="4">
        <v>45870.0</v>
      </c>
      <c r="C96" s="3" t="s">
        <v>110</v>
      </c>
      <c r="D96" s="3" t="s">
        <v>17</v>
      </c>
      <c r="E96" s="3">
        <v>44.0</v>
      </c>
      <c r="F96" s="3" t="s">
        <v>54</v>
      </c>
      <c r="G96" s="3">
        <v>5.0</v>
      </c>
      <c r="H96" s="3">
        <v>55.0</v>
      </c>
      <c r="I96" s="3">
        <v>275.0</v>
      </c>
      <c r="J96" s="2">
        <f t="shared" si="1"/>
        <v>2025</v>
      </c>
      <c r="K96" s="2">
        <f t="shared" si="2"/>
        <v>8</v>
      </c>
      <c r="L96" s="5" t="str">
        <f t="shared" si="3"/>
        <v>NO</v>
      </c>
    </row>
    <row r="97">
      <c r="A97" s="3">
        <v>96.0</v>
      </c>
      <c r="B97" s="4">
        <v>45689.0</v>
      </c>
      <c r="C97" s="3" t="s">
        <v>111</v>
      </c>
      <c r="D97" s="3" t="s">
        <v>10</v>
      </c>
      <c r="E97" s="3">
        <v>54.0</v>
      </c>
      <c r="F97" s="3" t="s">
        <v>20</v>
      </c>
      <c r="G97" s="3">
        <v>4.0</v>
      </c>
      <c r="H97" s="3">
        <v>150.0</v>
      </c>
      <c r="I97" s="3">
        <v>600.0</v>
      </c>
      <c r="J97" s="2">
        <f t="shared" si="1"/>
        <v>2025</v>
      </c>
      <c r="K97" s="2">
        <f t="shared" si="2"/>
        <v>2</v>
      </c>
      <c r="L97" s="5" t="str">
        <f t="shared" si="3"/>
        <v>NO</v>
      </c>
    </row>
    <row r="98">
      <c r="A98" s="3">
        <v>97.0</v>
      </c>
      <c r="B98" s="4">
        <v>45852.0</v>
      </c>
      <c r="C98" s="3" t="s">
        <v>112</v>
      </c>
      <c r="D98" s="3" t="s">
        <v>17</v>
      </c>
      <c r="E98" s="3">
        <v>42.0</v>
      </c>
      <c r="F98" s="3" t="s">
        <v>54</v>
      </c>
      <c r="G98" s="3">
        <v>3.0</v>
      </c>
      <c r="H98" s="3">
        <v>5.0</v>
      </c>
      <c r="I98" s="3">
        <v>15.0</v>
      </c>
      <c r="J98" s="2">
        <f t="shared" si="1"/>
        <v>2025</v>
      </c>
      <c r="K98" s="2">
        <f t="shared" si="2"/>
        <v>7</v>
      </c>
      <c r="L98" s="5" t="str">
        <f t="shared" si="3"/>
        <v>NO</v>
      </c>
    </row>
    <row r="99">
      <c r="A99" s="3">
        <v>98.0</v>
      </c>
      <c r="B99" s="4">
        <v>45872.0</v>
      </c>
      <c r="C99" s="3" t="s">
        <v>113</v>
      </c>
      <c r="D99" s="3" t="s">
        <v>10</v>
      </c>
      <c r="E99" s="3">
        <v>49.0</v>
      </c>
      <c r="F99" s="3" t="s">
        <v>15</v>
      </c>
      <c r="G99" s="3">
        <v>5.0</v>
      </c>
      <c r="H99" s="3">
        <v>500.0</v>
      </c>
      <c r="I99" s="3">
        <v>2500.0</v>
      </c>
      <c r="J99" s="2">
        <f t="shared" si="1"/>
        <v>2025</v>
      </c>
      <c r="K99" s="2">
        <f t="shared" si="2"/>
        <v>8</v>
      </c>
      <c r="L99" s="5" t="str">
        <f t="shared" si="3"/>
        <v>YES</v>
      </c>
    </row>
    <row r="100">
      <c r="A100" s="3">
        <v>99.0</v>
      </c>
      <c r="B100" s="4">
        <v>45770.0</v>
      </c>
      <c r="C100" s="3" t="s">
        <v>114</v>
      </c>
      <c r="D100" s="3" t="s">
        <v>10</v>
      </c>
      <c r="E100" s="3">
        <v>42.0</v>
      </c>
      <c r="F100" s="3" t="s">
        <v>22</v>
      </c>
      <c r="G100" s="3">
        <v>4.0</v>
      </c>
      <c r="H100" s="3">
        <v>1215.0</v>
      </c>
      <c r="I100" s="3">
        <v>4860.0</v>
      </c>
      <c r="J100" s="2">
        <f t="shared" si="1"/>
        <v>2025</v>
      </c>
      <c r="K100" s="2">
        <f t="shared" si="2"/>
        <v>4</v>
      </c>
      <c r="L100" s="5" t="str">
        <f t="shared" si="3"/>
        <v>YES</v>
      </c>
    </row>
    <row r="101">
      <c r="A101" s="3">
        <v>100.0</v>
      </c>
      <c r="B101" s="4">
        <v>45830.0</v>
      </c>
      <c r="C101" s="3" t="s">
        <v>115</v>
      </c>
      <c r="D101" s="3" t="s">
        <v>17</v>
      </c>
      <c r="E101" s="3">
        <v>26.0</v>
      </c>
      <c r="F101" s="3" t="s">
        <v>54</v>
      </c>
      <c r="G101" s="3">
        <v>2.0</v>
      </c>
      <c r="H101" s="3">
        <v>120.0</v>
      </c>
      <c r="I101" s="3">
        <v>240.0</v>
      </c>
      <c r="J101" s="2">
        <f t="shared" si="1"/>
        <v>2025</v>
      </c>
      <c r="K101" s="2">
        <f t="shared" si="2"/>
        <v>6</v>
      </c>
      <c r="L101" s="5" t="str">
        <f t="shared" si="3"/>
        <v>NO</v>
      </c>
    </row>
    <row r="102">
      <c r="A102" s="3">
        <v>101.0</v>
      </c>
      <c r="B102" s="4">
        <v>45976.0</v>
      </c>
      <c r="C102" s="3" t="s">
        <v>116</v>
      </c>
      <c r="D102" s="3" t="s">
        <v>10</v>
      </c>
      <c r="E102" s="3">
        <v>23.0</v>
      </c>
      <c r="F102" s="3" t="s">
        <v>15</v>
      </c>
      <c r="G102" s="3">
        <v>4.0</v>
      </c>
      <c r="H102" s="3">
        <v>40.0</v>
      </c>
      <c r="I102" s="3">
        <v>160.0</v>
      </c>
      <c r="J102" s="2">
        <f t="shared" si="1"/>
        <v>2025</v>
      </c>
      <c r="K102" s="2">
        <f t="shared" si="2"/>
        <v>11</v>
      </c>
      <c r="L102" s="5" t="str">
        <f t="shared" si="3"/>
        <v>NO</v>
      </c>
    </row>
    <row r="103">
      <c r="A103" s="3">
        <v>102.0</v>
      </c>
      <c r="B103" s="4">
        <v>45987.0</v>
      </c>
      <c r="C103" s="3" t="s">
        <v>117</v>
      </c>
      <c r="D103" s="3" t="s">
        <v>10</v>
      </c>
      <c r="E103" s="3">
        <v>21.0</v>
      </c>
      <c r="F103" s="3" t="s">
        <v>54</v>
      </c>
      <c r="G103" s="3">
        <v>4.0</v>
      </c>
      <c r="H103" s="3">
        <v>25.0</v>
      </c>
      <c r="I103" s="3">
        <v>100.0</v>
      </c>
      <c r="J103" s="2">
        <f t="shared" si="1"/>
        <v>2025</v>
      </c>
      <c r="K103" s="2">
        <f t="shared" si="2"/>
        <v>11</v>
      </c>
      <c r="L103" s="5" t="str">
        <f t="shared" si="3"/>
        <v>NO</v>
      </c>
    </row>
    <row r="104">
      <c r="A104" s="3">
        <v>103.0</v>
      </c>
      <c r="B104" s="4">
        <v>45791.0</v>
      </c>
      <c r="C104" s="3" t="s">
        <v>118</v>
      </c>
      <c r="D104" s="3" t="s">
        <v>17</v>
      </c>
      <c r="E104" s="3">
        <v>38.0</v>
      </c>
      <c r="F104" s="3" t="s">
        <v>54</v>
      </c>
      <c r="G104" s="3">
        <v>2.0</v>
      </c>
      <c r="H104" s="3">
        <v>55.0</v>
      </c>
      <c r="I104" s="3">
        <v>110.0</v>
      </c>
      <c r="J104" s="2">
        <f t="shared" si="1"/>
        <v>2025</v>
      </c>
      <c r="K104" s="2">
        <f t="shared" si="2"/>
        <v>5</v>
      </c>
      <c r="L104" s="5" t="str">
        <f t="shared" si="3"/>
        <v>NO</v>
      </c>
    </row>
    <row r="105">
      <c r="A105" s="3">
        <v>104.0</v>
      </c>
      <c r="B105" s="4">
        <v>45830.0</v>
      </c>
      <c r="C105" s="3" t="s">
        <v>119</v>
      </c>
      <c r="D105" s="3" t="s">
        <v>17</v>
      </c>
      <c r="E105" s="3">
        <v>23.0</v>
      </c>
      <c r="F105" s="3" t="s">
        <v>54</v>
      </c>
      <c r="G105" s="3">
        <v>4.0</v>
      </c>
      <c r="H105" s="3">
        <v>45.0</v>
      </c>
      <c r="I105" s="3">
        <v>180.0</v>
      </c>
      <c r="J105" s="2">
        <f t="shared" si="1"/>
        <v>2025</v>
      </c>
      <c r="K105" s="2">
        <f t="shared" si="2"/>
        <v>6</v>
      </c>
      <c r="L105" s="5" t="str">
        <f t="shared" si="3"/>
        <v>NO</v>
      </c>
    </row>
    <row r="106">
      <c r="A106" s="3">
        <v>105.0</v>
      </c>
      <c r="B106" s="4">
        <v>45898.0</v>
      </c>
      <c r="C106" s="3" t="s">
        <v>120</v>
      </c>
      <c r="D106" s="3" t="s">
        <v>10</v>
      </c>
      <c r="E106" s="3">
        <v>40.0</v>
      </c>
      <c r="F106" s="3" t="s">
        <v>11</v>
      </c>
      <c r="G106" s="3">
        <v>5.0</v>
      </c>
      <c r="H106" s="3">
        <v>250.0</v>
      </c>
      <c r="I106" s="3">
        <v>1250.0</v>
      </c>
      <c r="J106" s="2">
        <f t="shared" si="1"/>
        <v>2025</v>
      </c>
      <c r="K106" s="2">
        <f t="shared" si="2"/>
        <v>8</v>
      </c>
      <c r="L106" s="5" t="str">
        <f t="shared" si="3"/>
        <v>YES</v>
      </c>
    </row>
    <row r="107">
      <c r="A107" s="3">
        <v>106.0</v>
      </c>
      <c r="B107" s="4">
        <v>45772.0</v>
      </c>
      <c r="C107" s="3" t="s">
        <v>122</v>
      </c>
      <c r="D107" s="3" t="s">
        <v>10</v>
      </c>
      <c r="E107" s="3">
        <v>33.0</v>
      </c>
      <c r="F107" s="3" t="s">
        <v>11</v>
      </c>
      <c r="G107" s="3">
        <v>1.0</v>
      </c>
      <c r="H107" s="3">
        <v>220.0</v>
      </c>
      <c r="I107" s="3">
        <v>220.0</v>
      </c>
      <c r="J107" s="2">
        <f t="shared" si="1"/>
        <v>2025</v>
      </c>
      <c r="K107" s="2">
        <f t="shared" si="2"/>
        <v>4</v>
      </c>
      <c r="L107" s="5" t="str">
        <f t="shared" si="3"/>
        <v>NO</v>
      </c>
    </row>
    <row r="108">
      <c r="A108" s="3">
        <v>107.0</v>
      </c>
      <c r="B108" s="4">
        <v>45760.0</v>
      </c>
      <c r="C108" s="3" t="s">
        <v>123</v>
      </c>
      <c r="D108" s="3" t="s">
        <v>10</v>
      </c>
      <c r="E108" s="3">
        <v>26.0</v>
      </c>
      <c r="F108" s="3" t="s">
        <v>11</v>
      </c>
      <c r="G108" s="3">
        <v>2.0</v>
      </c>
      <c r="H108" s="3">
        <v>210.0</v>
      </c>
      <c r="I108" s="3">
        <v>420.0</v>
      </c>
      <c r="J108" s="2">
        <f t="shared" si="1"/>
        <v>2025</v>
      </c>
      <c r="K108" s="2">
        <f t="shared" si="2"/>
        <v>4</v>
      </c>
      <c r="L108" s="5" t="str">
        <f t="shared" si="3"/>
        <v>NO</v>
      </c>
    </row>
    <row r="109">
      <c r="A109" s="3">
        <v>108.0</v>
      </c>
      <c r="B109" s="4">
        <v>45900.0</v>
      </c>
      <c r="C109" s="3" t="s">
        <v>124</v>
      </c>
      <c r="D109" s="3" t="s">
        <v>17</v>
      </c>
      <c r="E109" s="3">
        <v>34.0</v>
      </c>
      <c r="F109" s="3" t="s">
        <v>11</v>
      </c>
      <c r="G109" s="3">
        <v>2.0</v>
      </c>
      <c r="H109" s="3">
        <v>195.0</v>
      </c>
      <c r="I109" s="3">
        <v>390.0</v>
      </c>
      <c r="J109" s="2">
        <f t="shared" si="1"/>
        <v>2025</v>
      </c>
      <c r="K109" s="2">
        <f t="shared" si="2"/>
        <v>8</v>
      </c>
      <c r="L109" s="5" t="str">
        <f t="shared" si="3"/>
        <v>NO</v>
      </c>
    </row>
    <row r="110">
      <c r="A110" s="3">
        <v>109.0</v>
      </c>
      <c r="B110" s="4">
        <v>45846.0</v>
      </c>
      <c r="C110" s="3" t="s">
        <v>126</v>
      </c>
      <c r="D110" s="3" t="s">
        <v>17</v>
      </c>
      <c r="E110" s="3">
        <v>24.0</v>
      </c>
      <c r="F110" s="3" t="s">
        <v>20</v>
      </c>
      <c r="G110" s="3">
        <v>2.0</v>
      </c>
      <c r="H110" s="3">
        <v>55.0</v>
      </c>
      <c r="I110" s="3">
        <v>110.0</v>
      </c>
      <c r="J110" s="2">
        <f t="shared" si="1"/>
        <v>2025</v>
      </c>
      <c r="K110" s="2">
        <f t="shared" si="2"/>
        <v>7</v>
      </c>
      <c r="L110" s="5" t="str">
        <f t="shared" si="3"/>
        <v>NO</v>
      </c>
    </row>
    <row r="111">
      <c r="A111" s="3">
        <v>110.0</v>
      </c>
      <c r="B111" s="4">
        <v>45954.0</v>
      </c>
      <c r="C111" s="3" t="s">
        <v>127</v>
      </c>
      <c r="D111" s="3" t="s">
        <v>17</v>
      </c>
      <c r="E111" s="3">
        <v>43.0</v>
      </c>
      <c r="F111" s="3" t="s">
        <v>11</v>
      </c>
      <c r="G111" s="3">
        <v>5.0</v>
      </c>
      <c r="H111" s="3">
        <v>110.0</v>
      </c>
      <c r="I111" s="3">
        <v>550.0</v>
      </c>
      <c r="J111" s="2">
        <f t="shared" si="1"/>
        <v>2025</v>
      </c>
      <c r="K111" s="2">
        <f t="shared" si="2"/>
        <v>10</v>
      </c>
      <c r="L111" s="5" t="str">
        <f t="shared" si="3"/>
        <v>NO</v>
      </c>
    </row>
    <row r="112">
      <c r="A112" s="3">
        <v>111.0</v>
      </c>
      <c r="B112" s="4">
        <v>45759.0</v>
      </c>
      <c r="C112" s="3" t="s">
        <v>128</v>
      </c>
      <c r="D112" s="3" t="s">
        <v>10</v>
      </c>
      <c r="E112" s="3">
        <v>37.0</v>
      </c>
      <c r="F112" s="3" t="s">
        <v>11</v>
      </c>
      <c r="G112" s="3">
        <v>2.0</v>
      </c>
      <c r="H112" s="3">
        <v>200.0</v>
      </c>
      <c r="I112" s="3">
        <v>400.0</v>
      </c>
      <c r="J112" s="2">
        <f t="shared" si="1"/>
        <v>2025</v>
      </c>
      <c r="K112" s="2">
        <f t="shared" si="2"/>
        <v>4</v>
      </c>
      <c r="L112" s="5" t="str">
        <f t="shared" si="3"/>
        <v>NO</v>
      </c>
    </row>
    <row r="113">
      <c r="A113" s="3">
        <v>112.0</v>
      </c>
      <c r="B113" s="4">
        <v>46008.0</v>
      </c>
      <c r="C113" s="3" t="s">
        <v>129</v>
      </c>
      <c r="D113" s="3" t="s">
        <v>10</v>
      </c>
      <c r="E113" s="3">
        <v>40.0</v>
      </c>
      <c r="F113" s="3" t="s">
        <v>15</v>
      </c>
      <c r="G113" s="3">
        <v>5.0</v>
      </c>
      <c r="H113" s="3">
        <v>100.0</v>
      </c>
      <c r="I113" s="3">
        <v>500.0</v>
      </c>
      <c r="J113" s="2">
        <f t="shared" si="1"/>
        <v>2025</v>
      </c>
      <c r="K113" s="2">
        <f t="shared" si="2"/>
        <v>12</v>
      </c>
      <c r="L113" s="5" t="str">
        <f t="shared" si="3"/>
        <v>NO</v>
      </c>
    </row>
    <row r="114">
      <c r="A114" s="3">
        <v>113.0</v>
      </c>
      <c r="B114" s="4">
        <v>45930.0</v>
      </c>
      <c r="C114" s="3" t="s">
        <v>130</v>
      </c>
      <c r="D114" s="3" t="s">
        <v>10</v>
      </c>
      <c r="E114" s="3">
        <v>50.0</v>
      </c>
      <c r="F114" s="3" t="s">
        <v>54</v>
      </c>
      <c r="G114" s="3">
        <v>3.0</v>
      </c>
      <c r="H114" s="3">
        <v>110.0</v>
      </c>
      <c r="I114" s="3">
        <v>330.0</v>
      </c>
      <c r="J114" s="2">
        <f t="shared" si="1"/>
        <v>2025</v>
      </c>
      <c r="K114" s="2">
        <f t="shared" si="2"/>
        <v>9</v>
      </c>
      <c r="L114" s="5" t="str">
        <f t="shared" si="3"/>
        <v>NO</v>
      </c>
    </row>
    <row r="115">
      <c r="A115" s="3">
        <v>114.0</v>
      </c>
      <c r="B115" s="4">
        <v>45989.0</v>
      </c>
      <c r="C115" s="3" t="s">
        <v>131</v>
      </c>
      <c r="D115" s="3" t="s">
        <v>17</v>
      </c>
      <c r="E115" s="3">
        <v>24.0</v>
      </c>
      <c r="F115" s="3" t="s">
        <v>22</v>
      </c>
      <c r="G115" s="3">
        <v>4.0</v>
      </c>
      <c r="H115" s="3">
        <v>130.0</v>
      </c>
      <c r="I115" s="3">
        <v>520.0</v>
      </c>
      <c r="J115" s="2">
        <f t="shared" si="1"/>
        <v>2025</v>
      </c>
      <c r="K115" s="2">
        <f t="shared" si="2"/>
        <v>11</v>
      </c>
      <c r="L115" s="5" t="str">
        <f t="shared" si="3"/>
        <v>NO</v>
      </c>
    </row>
    <row r="116">
      <c r="A116" s="3">
        <v>115.0</v>
      </c>
      <c r="B116" s="4">
        <v>45879.0</v>
      </c>
      <c r="C116" s="3" t="s">
        <v>132</v>
      </c>
      <c r="D116" s="3" t="s">
        <v>17</v>
      </c>
      <c r="E116" s="3">
        <v>29.0</v>
      </c>
      <c r="F116" s="3" t="s">
        <v>22</v>
      </c>
      <c r="G116" s="3">
        <v>2.0</v>
      </c>
      <c r="H116" s="3">
        <v>1275.0</v>
      </c>
      <c r="I116" s="3">
        <v>2550.0</v>
      </c>
      <c r="J116" s="2">
        <f t="shared" si="1"/>
        <v>2025</v>
      </c>
      <c r="K116" s="2">
        <f t="shared" si="2"/>
        <v>8</v>
      </c>
      <c r="L116" s="5" t="str">
        <f t="shared" si="3"/>
        <v>YES</v>
      </c>
    </row>
    <row r="117">
      <c r="A117" s="3">
        <v>116.0</v>
      </c>
      <c r="B117" s="4">
        <v>45925.0</v>
      </c>
      <c r="C117" s="3" t="s">
        <v>133</v>
      </c>
      <c r="D117" s="3" t="s">
        <v>17</v>
      </c>
      <c r="E117" s="3">
        <v>45.0</v>
      </c>
      <c r="F117" s="3" t="s">
        <v>22</v>
      </c>
      <c r="G117" s="3">
        <v>4.0</v>
      </c>
      <c r="H117" s="3">
        <v>1475.0</v>
      </c>
      <c r="I117" s="3">
        <v>5900.0</v>
      </c>
      <c r="J117" s="2">
        <f t="shared" si="1"/>
        <v>2025</v>
      </c>
      <c r="K117" s="2">
        <f t="shared" si="2"/>
        <v>9</v>
      </c>
      <c r="L117" s="5" t="str">
        <f t="shared" si="3"/>
        <v>YES</v>
      </c>
    </row>
    <row r="118">
      <c r="A118" s="3">
        <v>117.0</v>
      </c>
      <c r="B118" s="4">
        <v>45961.0</v>
      </c>
      <c r="C118" s="3" t="s">
        <v>134</v>
      </c>
      <c r="D118" s="3" t="s">
        <v>10</v>
      </c>
      <c r="E118" s="3">
        <v>35.0</v>
      </c>
      <c r="F118" s="3" t="s">
        <v>22</v>
      </c>
      <c r="G118" s="3">
        <v>2.0</v>
      </c>
      <c r="H118" s="3">
        <v>925.0</v>
      </c>
      <c r="I118" s="3">
        <v>1850.0</v>
      </c>
      <c r="J118" s="2">
        <f t="shared" si="1"/>
        <v>2025</v>
      </c>
      <c r="K118" s="2">
        <f t="shared" si="2"/>
        <v>10</v>
      </c>
      <c r="L118" s="5" t="str">
        <f t="shared" si="3"/>
        <v>YES</v>
      </c>
    </row>
    <row r="119">
      <c r="A119" s="3">
        <v>118.0</v>
      </c>
      <c r="B119" s="4">
        <v>45888.0</v>
      </c>
      <c r="C119" s="3" t="s">
        <v>135</v>
      </c>
      <c r="D119" s="3" t="s">
        <v>17</v>
      </c>
      <c r="E119" s="3">
        <v>39.0</v>
      </c>
      <c r="F119" s="3" t="s">
        <v>20</v>
      </c>
      <c r="G119" s="3">
        <v>5.0</v>
      </c>
      <c r="H119" s="3">
        <v>165.0</v>
      </c>
      <c r="I119" s="3">
        <v>825.0</v>
      </c>
      <c r="J119" s="2">
        <f t="shared" si="1"/>
        <v>2025</v>
      </c>
      <c r="K119" s="2">
        <f t="shared" si="2"/>
        <v>8</v>
      </c>
      <c r="L119" s="5" t="str">
        <f t="shared" si="3"/>
        <v>NO</v>
      </c>
    </row>
    <row r="120">
      <c r="A120" s="3">
        <v>119.0</v>
      </c>
      <c r="B120" s="4">
        <v>45672.0</v>
      </c>
      <c r="C120" s="3" t="s">
        <v>136</v>
      </c>
      <c r="D120" s="3" t="s">
        <v>17</v>
      </c>
      <c r="E120" s="3">
        <v>31.0</v>
      </c>
      <c r="F120" s="3" t="s">
        <v>54</v>
      </c>
      <c r="G120" s="3">
        <v>2.0</v>
      </c>
      <c r="H120" s="3">
        <v>55.0</v>
      </c>
      <c r="I120" s="3">
        <v>110.0</v>
      </c>
      <c r="J120" s="2">
        <f t="shared" si="1"/>
        <v>2025</v>
      </c>
      <c r="K120" s="2">
        <f t="shared" si="2"/>
        <v>1</v>
      </c>
      <c r="L120" s="5" t="str">
        <f t="shared" si="3"/>
        <v>NO</v>
      </c>
    </row>
    <row r="121">
      <c r="A121" s="3">
        <v>120.0</v>
      </c>
      <c r="B121" s="4">
        <v>45839.0</v>
      </c>
      <c r="C121" s="3" t="s">
        <v>137</v>
      </c>
      <c r="D121" s="3" t="s">
        <v>17</v>
      </c>
      <c r="E121" s="3">
        <v>53.0</v>
      </c>
      <c r="F121" s="3" t="s">
        <v>22</v>
      </c>
      <c r="G121" s="3">
        <v>3.0</v>
      </c>
      <c r="H121" s="3">
        <v>970.0</v>
      </c>
      <c r="I121" s="3">
        <v>2910.0</v>
      </c>
      <c r="J121" s="2">
        <f t="shared" si="1"/>
        <v>2025</v>
      </c>
      <c r="K121" s="2">
        <f t="shared" si="2"/>
        <v>7</v>
      </c>
      <c r="L121" s="5" t="str">
        <f t="shared" si="3"/>
        <v>YES</v>
      </c>
    </row>
    <row r="122">
      <c r="A122" s="3">
        <v>121.0</v>
      </c>
      <c r="B122" s="4">
        <v>45663.0</v>
      </c>
      <c r="C122" s="3" t="s">
        <v>138</v>
      </c>
      <c r="D122" s="3" t="s">
        <v>10</v>
      </c>
      <c r="E122" s="3">
        <v>44.0</v>
      </c>
      <c r="F122" s="3" t="s">
        <v>15</v>
      </c>
      <c r="G122" s="3">
        <v>1.0</v>
      </c>
      <c r="H122" s="3">
        <v>145.0</v>
      </c>
      <c r="I122" s="3">
        <v>145.0</v>
      </c>
      <c r="J122" s="2">
        <f t="shared" si="1"/>
        <v>2025</v>
      </c>
      <c r="K122" s="2">
        <f t="shared" si="2"/>
        <v>1</v>
      </c>
      <c r="L122" s="5" t="str">
        <f t="shared" si="3"/>
        <v>NO</v>
      </c>
    </row>
    <row r="123">
      <c r="A123" s="3">
        <v>122.0</v>
      </c>
      <c r="B123" s="4">
        <v>45908.0</v>
      </c>
      <c r="C123" s="3" t="s">
        <v>139</v>
      </c>
      <c r="D123" s="3" t="s">
        <v>17</v>
      </c>
      <c r="E123" s="3">
        <v>46.0</v>
      </c>
      <c r="F123" s="3" t="s">
        <v>15</v>
      </c>
      <c r="G123" s="3">
        <v>4.0</v>
      </c>
      <c r="H123" s="3">
        <v>175.0</v>
      </c>
      <c r="I123" s="3">
        <v>700.0</v>
      </c>
      <c r="J123" s="2">
        <f t="shared" si="1"/>
        <v>2025</v>
      </c>
      <c r="K123" s="2">
        <f t="shared" si="2"/>
        <v>9</v>
      </c>
      <c r="L123" s="5" t="str">
        <f t="shared" si="3"/>
        <v>NO</v>
      </c>
    </row>
    <row r="124">
      <c r="A124" s="3">
        <v>123.0</v>
      </c>
      <c r="B124" s="4">
        <v>45666.0</v>
      </c>
      <c r="C124" s="3" t="s">
        <v>140</v>
      </c>
      <c r="D124" s="3" t="s">
        <v>17</v>
      </c>
      <c r="E124" s="3">
        <v>33.0</v>
      </c>
      <c r="F124" s="3" t="s">
        <v>11</v>
      </c>
      <c r="G124" s="3">
        <v>2.0</v>
      </c>
      <c r="H124" s="3">
        <v>105.0</v>
      </c>
      <c r="I124" s="3">
        <v>210.0</v>
      </c>
      <c r="J124" s="2">
        <f t="shared" si="1"/>
        <v>2025</v>
      </c>
      <c r="K124" s="2">
        <f t="shared" si="2"/>
        <v>1</v>
      </c>
      <c r="L124" s="5" t="str">
        <f t="shared" si="3"/>
        <v>NO</v>
      </c>
    </row>
    <row r="125">
      <c r="A125" s="3">
        <v>124.0</v>
      </c>
      <c r="B125" s="4">
        <v>45814.0</v>
      </c>
      <c r="C125" s="3" t="s">
        <v>141</v>
      </c>
      <c r="D125" s="3" t="s">
        <v>17</v>
      </c>
      <c r="E125" s="3">
        <v>45.0</v>
      </c>
      <c r="F125" s="3" t="s">
        <v>15</v>
      </c>
      <c r="G125" s="3">
        <v>4.0</v>
      </c>
      <c r="H125" s="3">
        <v>260.0</v>
      </c>
      <c r="I125" s="3">
        <v>1040.0</v>
      </c>
      <c r="J125" s="2">
        <f t="shared" si="1"/>
        <v>2025</v>
      </c>
      <c r="K125" s="2">
        <f t="shared" si="2"/>
        <v>6</v>
      </c>
      <c r="L125" s="5" t="str">
        <f t="shared" si="3"/>
        <v>YES</v>
      </c>
    </row>
    <row r="126">
      <c r="A126" s="3">
        <v>125.0</v>
      </c>
      <c r="B126" s="4">
        <v>45939.0</v>
      </c>
      <c r="C126" s="3" t="s">
        <v>142</v>
      </c>
      <c r="D126" s="3" t="s">
        <v>17</v>
      </c>
      <c r="E126" s="3">
        <v>37.0</v>
      </c>
      <c r="F126" s="3" t="s">
        <v>22</v>
      </c>
      <c r="G126" s="3">
        <v>4.0</v>
      </c>
      <c r="H126" s="3">
        <v>1000.0</v>
      </c>
      <c r="I126" s="3">
        <v>4000.0</v>
      </c>
      <c r="J126" s="2">
        <f t="shared" si="1"/>
        <v>2025</v>
      </c>
      <c r="K126" s="2">
        <f t="shared" si="2"/>
        <v>10</v>
      </c>
      <c r="L126" s="5" t="str">
        <f t="shared" si="3"/>
        <v>YES</v>
      </c>
    </row>
    <row r="127">
      <c r="A127" s="3">
        <v>126.0</v>
      </c>
      <c r="B127" s="4">
        <v>45786.0</v>
      </c>
      <c r="C127" s="3" t="s">
        <v>143</v>
      </c>
      <c r="D127" s="3" t="s">
        <v>17</v>
      </c>
      <c r="E127" s="3">
        <v>25.0</v>
      </c>
      <c r="F127" s="3" t="s">
        <v>20</v>
      </c>
      <c r="G127" s="3">
        <v>2.0</v>
      </c>
      <c r="H127" s="3">
        <v>55.0</v>
      </c>
      <c r="I127" s="3">
        <v>110.0</v>
      </c>
      <c r="J127" s="2">
        <f t="shared" si="1"/>
        <v>2025</v>
      </c>
      <c r="K127" s="2">
        <f t="shared" si="2"/>
        <v>5</v>
      </c>
      <c r="L127" s="5" t="str">
        <f t="shared" si="3"/>
        <v>NO</v>
      </c>
    </row>
    <row r="128">
      <c r="A128" s="3">
        <v>127.0</v>
      </c>
      <c r="B128" s="4">
        <v>45932.0</v>
      </c>
      <c r="C128" s="3" t="s">
        <v>144</v>
      </c>
      <c r="D128" s="3" t="s">
        <v>17</v>
      </c>
      <c r="E128" s="3">
        <v>35.0</v>
      </c>
      <c r="F128" s="3" t="s">
        <v>20</v>
      </c>
      <c r="G128" s="3">
        <v>2.0</v>
      </c>
      <c r="H128" s="3">
        <v>80.0</v>
      </c>
      <c r="I128" s="3">
        <v>160.0</v>
      </c>
      <c r="J128" s="2">
        <f t="shared" si="1"/>
        <v>2025</v>
      </c>
      <c r="K128" s="2">
        <f t="shared" si="2"/>
        <v>10</v>
      </c>
      <c r="L128" s="5" t="str">
        <f t="shared" si="3"/>
        <v>NO</v>
      </c>
    </row>
    <row r="129">
      <c r="A129" s="3">
        <v>128.0</v>
      </c>
      <c r="B129" s="4">
        <v>45959.0</v>
      </c>
      <c r="C129" s="3" t="s">
        <v>145</v>
      </c>
      <c r="D129" s="3" t="s">
        <v>10</v>
      </c>
      <c r="E129" s="3">
        <v>30.0</v>
      </c>
      <c r="F129" s="3" t="s">
        <v>15</v>
      </c>
      <c r="G129" s="3">
        <v>3.0</v>
      </c>
      <c r="H129" s="3">
        <v>405.0</v>
      </c>
      <c r="I129" s="3">
        <v>1215.0</v>
      </c>
      <c r="J129" s="2">
        <f t="shared" si="1"/>
        <v>2025</v>
      </c>
      <c r="K129" s="2">
        <f t="shared" si="2"/>
        <v>10</v>
      </c>
      <c r="L129" s="5" t="str">
        <f t="shared" si="3"/>
        <v>YES</v>
      </c>
    </row>
    <row r="130">
      <c r="A130" s="3">
        <v>129.0</v>
      </c>
      <c r="B130" s="4">
        <v>45809.0</v>
      </c>
      <c r="C130" s="3" t="s">
        <v>146</v>
      </c>
      <c r="D130" s="3" t="s">
        <v>17</v>
      </c>
      <c r="E130" s="3">
        <v>18.0</v>
      </c>
      <c r="F130" s="3" t="s">
        <v>20</v>
      </c>
      <c r="G130" s="3">
        <v>2.0</v>
      </c>
      <c r="H130" s="3">
        <v>135.0</v>
      </c>
      <c r="I130" s="3">
        <v>270.0</v>
      </c>
      <c r="J130" s="2">
        <f t="shared" si="1"/>
        <v>2025</v>
      </c>
      <c r="K130" s="2">
        <f t="shared" si="2"/>
        <v>6</v>
      </c>
      <c r="L130" s="5" t="str">
        <f t="shared" si="3"/>
        <v>NO</v>
      </c>
    </row>
    <row r="131">
      <c r="A131" s="3">
        <v>130.0</v>
      </c>
      <c r="B131" s="4">
        <v>46020.0</v>
      </c>
      <c r="C131" s="3" t="s">
        <v>147</v>
      </c>
      <c r="D131" s="3" t="s">
        <v>10</v>
      </c>
      <c r="E131" s="3">
        <v>21.0</v>
      </c>
      <c r="F131" s="3" t="s">
        <v>15</v>
      </c>
      <c r="G131" s="3">
        <v>3.0</v>
      </c>
      <c r="H131" s="3">
        <v>105.0</v>
      </c>
      <c r="I131" s="3">
        <v>315.0</v>
      </c>
      <c r="J131" s="2">
        <f t="shared" si="1"/>
        <v>2025</v>
      </c>
      <c r="K131" s="2">
        <f t="shared" si="2"/>
        <v>12</v>
      </c>
      <c r="L131" s="5" t="str">
        <f t="shared" si="3"/>
        <v>NO</v>
      </c>
    </row>
    <row r="132">
      <c r="A132" s="3">
        <v>131.0</v>
      </c>
      <c r="B132" s="4">
        <v>45941.0</v>
      </c>
      <c r="C132" s="3" t="s">
        <v>148</v>
      </c>
      <c r="D132" s="3" t="s">
        <v>10</v>
      </c>
      <c r="E132" s="3">
        <v>18.0</v>
      </c>
      <c r="F132" s="3" t="s">
        <v>22</v>
      </c>
      <c r="G132" s="3">
        <v>4.0</v>
      </c>
      <c r="H132" s="3">
        <v>420.0</v>
      </c>
      <c r="I132" s="3">
        <v>1680.0</v>
      </c>
      <c r="J132" s="2">
        <f t="shared" si="1"/>
        <v>2025</v>
      </c>
      <c r="K132" s="2">
        <f t="shared" si="2"/>
        <v>10</v>
      </c>
      <c r="L132" s="5" t="str">
        <f t="shared" si="3"/>
        <v>YES</v>
      </c>
    </row>
    <row r="133">
      <c r="A133" s="3">
        <v>132.0</v>
      </c>
      <c r="B133" s="4">
        <v>45951.0</v>
      </c>
      <c r="C133" s="3" t="s">
        <v>149</v>
      </c>
      <c r="D133" s="3" t="s">
        <v>17</v>
      </c>
      <c r="E133" s="3">
        <v>39.0</v>
      </c>
      <c r="F133" s="3" t="s">
        <v>22</v>
      </c>
      <c r="G133" s="3">
        <v>4.0</v>
      </c>
      <c r="H133" s="3">
        <v>1300.0</v>
      </c>
      <c r="I133" s="3">
        <v>5200.0</v>
      </c>
      <c r="J133" s="2">
        <f t="shared" si="1"/>
        <v>2025</v>
      </c>
      <c r="K133" s="2">
        <f t="shared" si="2"/>
        <v>10</v>
      </c>
      <c r="L133" s="5" t="str">
        <f t="shared" si="3"/>
        <v>YES</v>
      </c>
    </row>
    <row r="134">
      <c r="A134" s="3">
        <v>133.0</v>
      </c>
      <c r="B134" s="4">
        <v>45752.0</v>
      </c>
      <c r="C134" s="3" t="s">
        <v>150</v>
      </c>
      <c r="D134" s="3" t="s">
        <v>10</v>
      </c>
      <c r="E134" s="3">
        <v>22.0</v>
      </c>
      <c r="F134" s="3" t="s">
        <v>11</v>
      </c>
      <c r="G134" s="3">
        <v>4.0</v>
      </c>
      <c r="H134" s="3">
        <v>95.0</v>
      </c>
      <c r="I134" s="3">
        <v>380.0</v>
      </c>
      <c r="J134" s="2">
        <f t="shared" si="1"/>
        <v>2025</v>
      </c>
      <c r="K134" s="2">
        <f t="shared" si="2"/>
        <v>4</v>
      </c>
      <c r="L134" s="5" t="str">
        <f t="shared" si="3"/>
        <v>NO</v>
      </c>
    </row>
    <row r="135">
      <c r="A135" s="3">
        <v>134.0</v>
      </c>
      <c r="B135" s="4">
        <v>45863.0</v>
      </c>
      <c r="C135" s="3" t="s">
        <v>152</v>
      </c>
      <c r="D135" s="3" t="s">
        <v>10</v>
      </c>
      <c r="E135" s="3">
        <v>27.0</v>
      </c>
      <c r="F135" s="3" t="s">
        <v>54</v>
      </c>
      <c r="G135" s="3">
        <v>5.0</v>
      </c>
      <c r="H135" s="3">
        <v>15.0</v>
      </c>
      <c r="I135" s="3">
        <v>75.0</v>
      </c>
      <c r="J135" s="2">
        <f t="shared" si="1"/>
        <v>2025</v>
      </c>
      <c r="K135" s="2">
        <f t="shared" si="2"/>
        <v>7</v>
      </c>
      <c r="L135" s="5" t="str">
        <f t="shared" si="3"/>
        <v>NO</v>
      </c>
    </row>
    <row r="136">
      <c r="A136" s="3">
        <v>135.0</v>
      </c>
      <c r="B136" s="4">
        <v>45734.0</v>
      </c>
      <c r="C136" s="3" t="s">
        <v>153</v>
      </c>
      <c r="D136" s="3" t="s">
        <v>10</v>
      </c>
      <c r="E136" s="3">
        <v>25.0</v>
      </c>
      <c r="F136" s="3" t="s">
        <v>15</v>
      </c>
      <c r="G136" s="3">
        <v>1.0</v>
      </c>
      <c r="H136" s="3">
        <v>215.0</v>
      </c>
      <c r="I136" s="3">
        <v>215.0</v>
      </c>
      <c r="J136" s="2">
        <f t="shared" si="1"/>
        <v>2025</v>
      </c>
      <c r="K136" s="2">
        <f t="shared" si="2"/>
        <v>3</v>
      </c>
      <c r="L136" s="5" t="str">
        <f t="shared" si="3"/>
        <v>NO</v>
      </c>
    </row>
    <row r="137">
      <c r="A137" s="3">
        <v>136.0</v>
      </c>
      <c r="B137" s="4">
        <v>45943.0</v>
      </c>
      <c r="C137" s="3" t="s">
        <v>154</v>
      </c>
      <c r="D137" s="3" t="s">
        <v>10</v>
      </c>
      <c r="E137" s="3">
        <v>51.0</v>
      </c>
      <c r="F137" s="3" t="s">
        <v>54</v>
      </c>
      <c r="G137" s="3">
        <v>5.0</v>
      </c>
      <c r="H137" s="3">
        <v>100.0</v>
      </c>
      <c r="I137" s="3">
        <v>500.0</v>
      </c>
      <c r="J137" s="2">
        <f t="shared" si="1"/>
        <v>2025</v>
      </c>
      <c r="K137" s="2">
        <f t="shared" si="2"/>
        <v>10</v>
      </c>
      <c r="L137" s="5" t="str">
        <f t="shared" si="3"/>
        <v>NO</v>
      </c>
    </row>
    <row r="138">
      <c r="A138" s="3">
        <v>137.0</v>
      </c>
      <c r="B138" s="4">
        <v>45852.0</v>
      </c>
      <c r="C138" s="3" t="s">
        <v>155</v>
      </c>
      <c r="D138" s="3" t="s">
        <v>17</v>
      </c>
      <c r="E138" s="3">
        <v>37.0</v>
      </c>
      <c r="F138" s="3" t="s">
        <v>54</v>
      </c>
      <c r="G138" s="3">
        <v>3.0</v>
      </c>
      <c r="H138" s="3">
        <v>75.0</v>
      </c>
      <c r="I138" s="3">
        <v>225.0</v>
      </c>
      <c r="J138" s="2">
        <f t="shared" si="1"/>
        <v>2025</v>
      </c>
      <c r="K138" s="2">
        <f t="shared" si="2"/>
        <v>7</v>
      </c>
      <c r="L138" s="5" t="str">
        <f t="shared" si="3"/>
        <v>NO</v>
      </c>
    </row>
    <row r="139">
      <c r="A139" s="3">
        <v>138.0</v>
      </c>
      <c r="B139" s="4">
        <v>45949.0</v>
      </c>
      <c r="C139" s="3" t="s">
        <v>156</v>
      </c>
      <c r="D139" s="3" t="s">
        <v>10</v>
      </c>
      <c r="E139" s="3">
        <v>31.0</v>
      </c>
      <c r="F139" s="3" t="s">
        <v>15</v>
      </c>
      <c r="G139" s="3">
        <v>5.0</v>
      </c>
      <c r="H139" s="3">
        <v>60.0</v>
      </c>
      <c r="I139" s="3">
        <v>300.0</v>
      </c>
      <c r="J139" s="2">
        <f t="shared" si="1"/>
        <v>2025</v>
      </c>
      <c r="K139" s="2">
        <f t="shared" si="2"/>
        <v>10</v>
      </c>
      <c r="L139" s="5" t="str">
        <f t="shared" si="3"/>
        <v>NO</v>
      </c>
    </row>
    <row r="140">
      <c r="A140" s="3">
        <v>139.0</v>
      </c>
      <c r="B140" s="4">
        <v>45978.0</v>
      </c>
      <c r="C140" s="3" t="s">
        <v>157</v>
      </c>
      <c r="D140" s="3" t="s">
        <v>10</v>
      </c>
      <c r="E140" s="3">
        <v>33.0</v>
      </c>
      <c r="F140" s="3" t="s">
        <v>20</v>
      </c>
      <c r="G140" s="3">
        <v>1.0</v>
      </c>
      <c r="H140" s="3">
        <v>100.0</v>
      </c>
      <c r="I140" s="3">
        <v>100.0</v>
      </c>
      <c r="J140" s="2">
        <f t="shared" si="1"/>
        <v>2025</v>
      </c>
      <c r="K140" s="2">
        <f t="shared" si="2"/>
        <v>11</v>
      </c>
      <c r="L140" s="5" t="str">
        <f t="shared" si="3"/>
        <v>NO</v>
      </c>
    </row>
    <row r="141">
      <c r="A141" s="3">
        <v>140.0</v>
      </c>
      <c r="B141" s="4">
        <v>45746.0</v>
      </c>
      <c r="C141" s="3" t="s">
        <v>158</v>
      </c>
      <c r="D141" s="3" t="s">
        <v>10</v>
      </c>
      <c r="E141" s="3">
        <v>44.0</v>
      </c>
      <c r="F141" s="3" t="s">
        <v>15</v>
      </c>
      <c r="G141" s="3">
        <v>2.0</v>
      </c>
      <c r="H141" s="3">
        <v>70.0</v>
      </c>
      <c r="I141" s="3">
        <v>140.0</v>
      </c>
      <c r="J141" s="2">
        <f t="shared" si="1"/>
        <v>2025</v>
      </c>
      <c r="K141" s="2">
        <f t="shared" si="2"/>
        <v>3</v>
      </c>
      <c r="L141" s="5" t="str">
        <f t="shared" si="3"/>
        <v>NO</v>
      </c>
    </row>
    <row r="142">
      <c r="A142" s="3">
        <v>141.0</v>
      </c>
      <c r="B142" s="4">
        <v>45888.0</v>
      </c>
      <c r="C142" s="3" t="s">
        <v>159</v>
      </c>
      <c r="D142" s="3" t="s">
        <v>10</v>
      </c>
      <c r="E142" s="3">
        <v>32.0</v>
      </c>
      <c r="F142" s="3" t="s">
        <v>15</v>
      </c>
      <c r="G142" s="3">
        <v>3.0</v>
      </c>
      <c r="H142" s="3">
        <v>325.0</v>
      </c>
      <c r="I142" s="3">
        <v>975.0</v>
      </c>
      <c r="J142" s="2">
        <f t="shared" si="1"/>
        <v>2025</v>
      </c>
      <c r="K142" s="2">
        <f t="shared" si="2"/>
        <v>8</v>
      </c>
      <c r="L142" s="5" t="str">
        <f t="shared" si="3"/>
        <v>NO</v>
      </c>
    </row>
    <row r="143">
      <c r="A143" s="3">
        <v>142.0</v>
      </c>
      <c r="B143" s="4">
        <v>45805.0</v>
      </c>
      <c r="C143" s="3" t="s">
        <v>160</v>
      </c>
      <c r="D143" s="3" t="s">
        <v>10</v>
      </c>
      <c r="E143" s="3">
        <v>34.0</v>
      </c>
      <c r="F143" s="3" t="s">
        <v>22</v>
      </c>
      <c r="G143" s="3">
        <v>1.0</v>
      </c>
      <c r="H143" s="3">
        <v>1260.0</v>
      </c>
      <c r="I143" s="3">
        <v>1260.0</v>
      </c>
      <c r="J143" s="2">
        <f t="shared" si="1"/>
        <v>2025</v>
      </c>
      <c r="K143" s="2">
        <f t="shared" si="2"/>
        <v>5</v>
      </c>
      <c r="L143" s="5" t="str">
        <f t="shared" si="3"/>
        <v>YES</v>
      </c>
    </row>
    <row r="144">
      <c r="A144" s="3">
        <v>143.0</v>
      </c>
      <c r="B144" s="4">
        <v>45978.0</v>
      </c>
      <c r="C144" s="3" t="s">
        <v>161</v>
      </c>
      <c r="D144" s="3" t="s">
        <v>17</v>
      </c>
      <c r="E144" s="3">
        <v>25.0</v>
      </c>
      <c r="F144" s="3" t="s">
        <v>15</v>
      </c>
      <c r="G144" s="3">
        <v>2.0</v>
      </c>
      <c r="H144" s="3">
        <v>445.0</v>
      </c>
      <c r="I144" s="3">
        <v>890.0</v>
      </c>
      <c r="J144" s="2">
        <f t="shared" si="1"/>
        <v>2025</v>
      </c>
      <c r="K144" s="2">
        <f t="shared" si="2"/>
        <v>11</v>
      </c>
      <c r="L144" s="5" t="str">
        <f t="shared" si="3"/>
        <v>NO</v>
      </c>
    </row>
    <row r="145">
      <c r="A145" s="3">
        <v>144.0</v>
      </c>
      <c r="B145" s="4">
        <v>45936.0</v>
      </c>
      <c r="C145" s="3" t="s">
        <v>162</v>
      </c>
      <c r="D145" s="3" t="s">
        <v>10</v>
      </c>
      <c r="E145" s="3">
        <v>22.0</v>
      </c>
      <c r="F145" s="3" t="s">
        <v>20</v>
      </c>
      <c r="G145" s="3">
        <v>3.0</v>
      </c>
      <c r="H145" s="3">
        <v>65.0</v>
      </c>
      <c r="I145" s="3">
        <v>195.0</v>
      </c>
      <c r="J145" s="2">
        <f t="shared" si="1"/>
        <v>2025</v>
      </c>
      <c r="K145" s="2">
        <f t="shared" si="2"/>
        <v>10</v>
      </c>
      <c r="L145" s="5" t="str">
        <f t="shared" si="3"/>
        <v>NO</v>
      </c>
    </row>
    <row r="146">
      <c r="A146" s="3">
        <v>145.0</v>
      </c>
      <c r="B146" s="4">
        <v>45688.0</v>
      </c>
      <c r="C146" s="3" t="s">
        <v>163</v>
      </c>
      <c r="D146" s="3" t="s">
        <v>17</v>
      </c>
      <c r="E146" s="3">
        <v>46.0</v>
      </c>
      <c r="F146" s="3" t="s">
        <v>20</v>
      </c>
      <c r="G146" s="3">
        <v>5.0</v>
      </c>
      <c r="H146" s="3">
        <v>115.0</v>
      </c>
      <c r="I146" s="3">
        <v>575.0</v>
      </c>
      <c r="J146" s="2">
        <f t="shared" si="1"/>
        <v>2025</v>
      </c>
      <c r="K146" s="2">
        <f t="shared" si="2"/>
        <v>1</v>
      </c>
      <c r="L146" s="5" t="str">
        <f t="shared" si="3"/>
        <v>NO</v>
      </c>
    </row>
    <row r="147">
      <c r="A147" s="3">
        <v>146.0</v>
      </c>
      <c r="B147" s="4">
        <v>45721.0</v>
      </c>
      <c r="C147" s="3" t="s">
        <v>164</v>
      </c>
      <c r="D147" s="3" t="s">
        <v>17</v>
      </c>
      <c r="E147" s="3">
        <v>35.0</v>
      </c>
      <c r="F147" s="3" t="s">
        <v>54</v>
      </c>
      <c r="G147" s="3">
        <v>3.0</v>
      </c>
      <c r="H147" s="3">
        <v>115.0</v>
      </c>
      <c r="I147" s="3">
        <v>345.0</v>
      </c>
      <c r="J147" s="2">
        <f t="shared" si="1"/>
        <v>2025</v>
      </c>
      <c r="K147" s="2">
        <f t="shared" si="2"/>
        <v>3</v>
      </c>
      <c r="L147" s="5" t="str">
        <f t="shared" si="3"/>
        <v>NO</v>
      </c>
    </row>
    <row r="148">
      <c r="A148" s="3">
        <v>147.0</v>
      </c>
      <c r="B148" s="4">
        <v>45914.0</v>
      </c>
      <c r="C148" s="3" t="s">
        <v>165</v>
      </c>
      <c r="D148" s="3" t="s">
        <v>10</v>
      </c>
      <c r="E148" s="3">
        <v>56.0</v>
      </c>
      <c r="F148" s="3" t="s">
        <v>15</v>
      </c>
      <c r="G148" s="3">
        <v>4.0</v>
      </c>
      <c r="H148" s="3">
        <v>340.0</v>
      </c>
      <c r="I148" s="3">
        <v>1360.0</v>
      </c>
      <c r="J148" s="2">
        <f t="shared" si="1"/>
        <v>2025</v>
      </c>
      <c r="K148" s="2">
        <f t="shared" si="2"/>
        <v>9</v>
      </c>
      <c r="L148" s="5" t="str">
        <f t="shared" si="3"/>
        <v>YES</v>
      </c>
    </row>
    <row r="149">
      <c r="A149" s="3">
        <v>148.0</v>
      </c>
      <c r="B149" s="4">
        <v>45678.0</v>
      </c>
      <c r="C149" s="3" t="s">
        <v>166</v>
      </c>
      <c r="D149" s="3" t="s">
        <v>17</v>
      </c>
      <c r="E149" s="3">
        <v>19.0</v>
      </c>
      <c r="F149" s="3" t="s">
        <v>54</v>
      </c>
      <c r="G149" s="3">
        <v>3.0</v>
      </c>
      <c r="H149" s="3">
        <v>120.0</v>
      </c>
      <c r="I149" s="3">
        <v>360.0</v>
      </c>
      <c r="J149" s="2">
        <f t="shared" si="1"/>
        <v>2025</v>
      </c>
      <c r="K149" s="2">
        <f t="shared" si="2"/>
        <v>1</v>
      </c>
      <c r="L149" s="5" t="str">
        <f t="shared" si="3"/>
        <v>NO</v>
      </c>
    </row>
    <row r="150">
      <c r="A150" s="3">
        <v>149.0</v>
      </c>
      <c r="B150" s="4">
        <v>45704.0</v>
      </c>
      <c r="C150" s="3" t="s">
        <v>167</v>
      </c>
      <c r="D150" s="3" t="s">
        <v>10</v>
      </c>
      <c r="E150" s="3">
        <v>29.0</v>
      </c>
      <c r="F150" s="3" t="s">
        <v>20</v>
      </c>
      <c r="G150" s="3">
        <v>3.0</v>
      </c>
      <c r="H150" s="3">
        <v>25.0</v>
      </c>
      <c r="I150" s="3">
        <v>75.0</v>
      </c>
      <c r="J150" s="2">
        <f t="shared" si="1"/>
        <v>2025</v>
      </c>
      <c r="K150" s="2">
        <f t="shared" si="2"/>
        <v>2</v>
      </c>
      <c r="L150" s="5" t="str">
        <f t="shared" si="3"/>
        <v>NO</v>
      </c>
    </row>
    <row r="151">
      <c r="A151" s="3">
        <v>150.0</v>
      </c>
      <c r="B151" s="4">
        <v>45898.0</v>
      </c>
      <c r="C151" s="3" t="s">
        <v>168</v>
      </c>
      <c r="D151" s="3" t="s">
        <v>17</v>
      </c>
      <c r="E151" s="3">
        <v>29.0</v>
      </c>
      <c r="F151" s="3" t="s">
        <v>15</v>
      </c>
      <c r="G151" s="3">
        <v>4.0</v>
      </c>
      <c r="H151" s="3">
        <v>440.0</v>
      </c>
      <c r="I151" s="3">
        <v>1760.0</v>
      </c>
      <c r="J151" s="2">
        <f t="shared" si="1"/>
        <v>2025</v>
      </c>
      <c r="K151" s="2">
        <f t="shared" si="2"/>
        <v>8</v>
      </c>
      <c r="L151" s="5" t="str">
        <f t="shared" si="3"/>
        <v>YES</v>
      </c>
    </row>
    <row r="152">
      <c r="A152" s="3">
        <v>151.0</v>
      </c>
      <c r="B152" s="4">
        <v>45957.0</v>
      </c>
      <c r="C152" s="3" t="s">
        <v>169</v>
      </c>
      <c r="D152" s="3" t="s">
        <v>10</v>
      </c>
      <c r="E152" s="3">
        <v>48.0</v>
      </c>
      <c r="F152" s="3" t="s">
        <v>54</v>
      </c>
      <c r="G152" s="3">
        <v>4.0</v>
      </c>
      <c r="H152" s="3">
        <v>105.0</v>
      </c>
      <c r="I152" s="3">
        <v>420.0</v>
      </c>
      <c r="J152" s="2">
        <f t="shared" si="1"/>
        <v>2025</v>
      </c>
      <c r="K152" s="2">
        <f t="shared" si="2"/>
        <v>10</v>
      </c>
      <c r="L152" s="5" t="str">
        <f t="shared" si="3"/>
        <v>NO</v>
      </c>
    </row>
    <row r="153">
      <c r="A153" s="3">
        <v>152.0</v>
      </c>
      <c r="B153" s="4">
        <v>45836.0</v>
      </c>
      <c r="C153" s="3" t="s">
        <v>170</v>
      </c>
      <c r="D153" s="3" t="s">
        <v>10</v>
      </c>
      <c r="E153" s="3">
        <v>28.0</v>
      </c>
      <c r="F153" s="3" t="s">
        <v>54</v>
      </c>
      <c r="G153" s="3">
        <v>3.0</v>
      </c>
      <c r="H153" s="3">
        <v>55.0</v>
      </c>
      <c r="I153" s="3">
        <v>165.0</v>
      </c>
      <c r="J153" s="2">
        <f t="shared" si="1"/>
        <v>2025</v>
      </c>
      <c r="K153" s="2">
        <f t="shared" si="2"/>
        <v>6</v>
      </c>
      <c r="L153" s="5" t="str">
        <f t="shared" si="3"/>
        <v>NO</v>
      </c>
    </row>
    <row r="154">
      <c r="A154" s="3">
        <v>153.0</v>
      </c>
      <c r="B154" s="4">
        <v>45826.0</v>
      </c>
      <c r="C154" s="3" t="s">
        <v>171</v>
      </c>
      <c r="D154" s="3" t="s">
        <v>17</v>
      </c>
      <c r="E154" s="3">
        <v>60.0</v>
      </c>
      <c r="F154" s="3" t="s">
        <v>54</v>
      </c>
      <c r="G154" s="3">
        <v>4.0</v>
      </c>
      <c r="H154" s="3">
        <v>115.0</v>
      </c>
      <c r="I154" s="3">
        <v>460.0</v>
      </c>
      <c r="J154" s="2">
        <f t="shared" si="1"/>
        <v>2025</v>
      </c>
      <c r="K154" s="2">
        <f t="shared" si="2"/>
        <v>6</v>
      </c>
      <c r="L154" s="5" t="str">
        <f t="shared" si="3"/>
        <v>NO</v>
      </c>
    </row>
    <row r="155">
      <c r="A155" s="3">
        <v>154.0</v>
      </c>
      <c r="B155" s="4">
        <v>45863.0</v>
      </c>
      <c r="C155" s="3" t="s">
        <v>172</v>
      </c>
      <c r="D155" s="3" t="s">
        <v>10</v>
      </c>
      <c r="E155" s="3">
        <v>38.0</v>
      </c>
      <c r="F155" s="3" t="s">
        <v>15</v>
      </c>
      <c r="G155" s="3">
        <v>4.0</v>
      </c>
      <c r="H155" s="3">
        <v>45.0</v>
      </c>
      <c r="I155" s="3">
        <v>180.0</v>
      </c>
      <c r="J155" s="2">
        <f t="shared" si="1"/>
        <v>2025</v>
      </c>
      <c r="K155" s="2">
        <f t="shared" si="2"/>
        <v>7</v>
      </c>
      <c r="L155" s="5" t="str">
        <f t="shared" si="3"/>
        <v>NO</v>
      </c>
    </row>
    <row r="156">
      <c r="A156" s="3">
        <v>155.0</v>
      </c>
      <c r="B156" s="4">
        <v>45787.0</v>
      </c>
      <c r="C156" s="3" t="s">
        <v>173</v>
      </c>
      <c r="D156" s="3" t="s">
        <v>10</v>
      </c>
      <c r="E156" s="3">
        <v>60.0</v>
      </c>
      <c r="F156" s="3" t="s">
        <v>22</v>
      </c>
      <c r="G156" s="3">
        <v>4.0</v>
      </c>
      <c r="H156" s="3">
        <v>395.0</v>
      </c>
      <c r="I156" s="3">
        <v>1580.0</v>
      </c>
      <c r="J156" s="2">
        <f t="shared" si="1"/>
        <v>2025</v>
      </c>
      <c r="K156" s="2">
        <f t="shared" si="2"/>
        <v>5</v>
      </c>
      <c r="L156" s="5" t="str">
        <f t="shared" si="3"/>
        <v>YES</v>
      </c>
    </row>
    <row r="157">
      <c r="A157" s="3">
        <v>156.0</v>
      </c>
      <c r="B157" s="4">
        <v>45935.0</v>
      </c>
      <c r="C157" s="3" t="s">
        <v>174</v>
      </c>
      <c r="D157" s="3" t="s">
        <v>10</v>
      </c>
      <c r="E157" s="3">
        <v>51.0</v>
      </c>
      <c r="F157" s="3" t="s">
        <v>54</v>
      </c>
      <c r="G157" s="3">
        <v>1.0</v>
      </c>
      <c r="H157" s="3">
        <v>70.0</v>
      </c>
      <c r="I157" s="3">
        <v>70.0</v>
      </c>
      <c r="J157" s="2">
        <f t="shared" si="1"/>
        <v>2025</v>
      </c>
      <c r="K157" s="2">
        <f t="shared" si="2"/>
        <v>10</v>
      </c>
      <c r="L157" s="5" t="str">
        <f t="shared" si="3"/>
        <v>NO</v>
      </c>
    </row>
    <row r="158">
      <c r="A158" s="3">
        <v>157.0</v>
      </c>
      <c r="B158" s="4">
        <v>45843.0</v>
      </c>
      <c r="C158" s="3" t="s">
        <v>175</v>
      </c>
      <c r="D158" s="3" t="s">
        <v>10</v>
      </c>
      <c r="E158" s="3">
        <v>31.0</v>
      </c>
      <c r="F158" s="3" t="s">
        <v>15</v>
      </c>
      <c r="G158" s="3">
        <v>4.0</v>
      </c>
      <c r="H158" s="3">
        <v>340.0</v>
      </c>
      <c r="I158" s="3">
        <v>1360.0</v>
      </c>
      <c r="J158" s="2">
        <f t="shared" si="1"/>
        <v>2025</v>
      </c>
      <c r="K158" s="2">
        <f t="shared" si="2"/>
        <v>7</v>
      </c>
      <c r="L158" s="5" t="str">
        <f t="shared" si="3"/>
        <v>YES</v>
      </c>
    </row>
    <row r="159">
      <c r="A159" s="3">
        <v>158.0</v>
      </c>
      <c r="B159" s="4">
        <v>45794.0</v>
      </c>
      <c r="C159" s="3" t="s">
        <v>176</v>
      </c>
      <c r="D159" s="3" t="s">
        <v>17</v>
      </c>
      <c r="E159" s="3">
        <v>49.0</v>
      </c>
      <c r="F159" s="3" t="s">
        <v>15</v>
      </c>
      <c r="G159" s="3">
        <v>3.0</v>
      </c>
      <c r="H159" s="3">
        <v>105.0</v>
      </c>
      <c r="I159" s="3">
        <v>315.0</v>
      </c>
      <c r="J159" s="2">
        <f t="shared" si="1"/>
        <v>2025</v>
      </c>
      <c r="K159" s="2">
        <f t="shared" si="2"/>
        <v>5</v>
      </c>
      <c r="L159" s="5" t="str">
        <f t="shared" si="3"/>
        <v>NO</v>
      </c>
    </row>
    <row r="160">
      <c r="A160" s="3">
        <v>159.0</v>
      </c>
      <c r="B160" s="4">
        <v>45720.0</v>
      </c>
      <c r="C160" s="3" t="s">
        <v>177</v>
      </c>
      <c r="D160" s="3" t="s">
        <v>10</v>
      </c>
      <c r="E160" s="3">
        <v>28.0</v>
      </c>
      <c r="F160" s="3" t="s">
        <v>11</v>
      </c>
      <c r="G160" s="3">
        <v>5.0</v>
      </c>
      <c r="H160" s="3">
        <v>215.0</v>
      </c>
      <c r="I160" s="3">
        <v>1075.0</v>
      </c>
      <c r="J160" s="2">
        <f t="shared" si="1"/>
        <v>2025</v>
      </c>
      <c r="K160" s="2">
        <f t="shared" si="2"/>
        <v>3</v>
      </c>
      <c r="L160" s="5" t="str">
        <f t="shared" si="3"/>
        <v>YES</v>
      </c>
    </row>
    <row r="161">
      <c r="A161" s="3">
        <v>160.0</v>
      </c>
      <c r="B161" s="4">
        <v>45817.0</v>
      </c>
      <c r="C161" s="3" t="s">
        <v>178</v>
      </c>
      <c r="D161" s="3" t="s">
        <v>17</v>
      </c>
      <c r="E161" s="3">
        <v>23.0</v>
      </c>
      <c r="F161" s="3" t="s">
        <v>15</v>
      </c>
      <c r="G161" s="3">
        <v>5.0</v>
      </c>
      <c r="H161" s="3">
        <v>30.0</v>
      </c>
      <c r="I161" s="3">
        <v>150.0</v>
      </c>
      <c r="J161" s="2">
        <f t="shared" si="1"/>
        <v>2025</v>
      </c>
      <c r="K161" s="2">
        <f t="shared" si="2"/>
        <v>6</v>
      </c>
      <c r="L161" s="5" t="str">
        <f t="shared" si="3"/>
        <v>NO</v>
      </c>
    </row>
    <row r="162">
      <c r="A162" s="3">
        <v>161.0</v>
      </c>
      <c r="B162" s="4">
        <v>45773.0</v>
      </c>
      <c r="C162" s="3" t="s">
        <v>179</v>
      </c>
      <c r="D162" s="3" t="s">
        <v>10</v>
      </c>
      <c r="E162" s="3">
        <v>49.0</v>
      </c>
      <c r="F162" s="3" t="s">
        <v>11</v>
      </c>
      <c r="G162" s="3">
        <v>1.0</v>
      </c>
      <c r="H162" s="3">
        <v>160.0</v>
      </c>
      <c r="I162" s="3">
        <v>160.0</v>
      </c>
      <c r="J162" s="2">
        <f t="shared" si="1"/>
        <v>2025</v>
      </c>
      <c r="K162" s="2">
        <f t="shared" si="2"/>
        <v>4</v>
      </c>
      <c r="L162" s="5" t="str">
        <f t="shared" si="3"/>
        <v>NO</v>
      </c>
    </row>
    <row r="163">
      <c r="A163" s="3">
        <v>162.0</v>
      </c>
      <c r="B163" s="4">
        <v>45807.0</v>
      </c>
      <c r="C163" s="3" t="s">
        <v>180</v>
      </c>
      <c r="D163" s="3" t="s">
        <v>17</v>
      </c>
      <c r="E163" s="3">
        <v>48.0</v>
      </c>
      <c r="F163" s="3" t="s">
        <v>15</v>
      </c>
      <c r="G163" s="3">
        <v>3.0</v>
      </c>
      <c r="H163" s="3">
        <v>475.0</v>
      </c>
      <c r="I163" s="3">
        <v>1425.0</v>
      </c>
      <c r="J163" s="2">
        <f t="shared" si="1"/>
        <v>2025</v>
      </c>
      <c r="K163" s="2">
        <f t="shared" si="2"/>
        <v>5</v>
      </c>
      <c r="L163" s="5" t="str">
        <f t="shared" si="3"/>
        <v>YES</v>
      </c>
    </row>
    <row r="164">
      <c r="A164" s="3">
        <v>163.0</v>
      </c>
      <c r="B164" s="4">
        <v>45899.0</v>
      </c>
      <c r="C164" s="3" t="s">
        <v>181</v>
      </c>
      <c r="D164" s="3" t="s">
        <v>10</v>
      </c>
      <c r="E164" s="3">
        <v>42.0</v>
      </c>
      <c r="F164" s="3" t="s">
        <v>20</v>
      </c>
      <c r="G164" s="3">
        <v>5.0</v>
      </c>
      <c r="H164" s="3">
        <v>165.0</v>
      </c>
      <c r="I164" s="3">
        <v>825.0</v>
      </c>
      <c r="J164" s="2">
        <f t="shared" si="1"/>
        <v>2025</v>
      </c>
      <c r="K164" s="2">
        <f t="shared" si="2"/>
        <v>8</v>
      </c>
      <c r="L164" s="5" t="str">
        <f t="shared" si="3"/>
        <v>NO</v>
      </c>
    </row>
    <row r="165">
      <c r="A165" s="3">
        <v>164.0</v>
      </c>
      <c r="B165" s="4">
        <v>45755.0</v>
      </c>
      <c r="C165" s="3" t="s">
        <v>182</v>
      </c>
      <c r="D165" s="3" t="s">
        <v>10</v>
      </c>
      <c r="E165" s="3">
        <v>35.0</v>
      </c>
      <c r="F165" s="3" t="s">
        <v>15</v>
      </c>
      <c r="G165" s="3">
        <v>2.0</v>
      </c>
      <c r="H165" s="3">
        <v>350.0</v>
      </c>
      <c r="I165" s="3">
        <v>700.0</v>
      </c>
      <c r="J165" s="2">
        <f t="shared" si="1"/>
        <v>2025</v>
      </c>
      <c r="K165" s="2">
        <f t="shared" si="2"/>
        <v>4</v>
      </c>
      <c r="L165" s="5" t="str">
        <f t="shared" si="3"/>
        <v>NO</v>
      </c>
    </row>
    <row r="166">
      <c r="A166" s="3">
        <v>165.0</v>
      </c>
      <c r="B166" s="4">
        <v>45870.0</v>
      </c>
      <c r="C166" s="3" t="s">
        <v>183</v>
      </c>
      <c r="D166" s="3" t="s">
        <v>10</v>
      </c>
      <c r="E166" s="3">
        <v>36.0</v>
      </c>
      <c r="F166" s="3" t="s">
        <v>22</v>
      </c>
      <c r="G166" s="3">
        <v>3.0</v>
      </c>
      <c r="H166" s="3">
        <v>1395.0</v>
      </c>
      <c r="I166" s="3">
        <v>4185.0</v>
      </c>
      <c r="J166" s="2">
        <f t="shared" si="1"/>
        <v>2025</v>
      </c>
      <c r="K166" s="2">
        <f t="shared" si="2"/>
        <v>8</v>
      </c>
      <c r="L166" s="5" t="str">
        <f t="shared" si="3"/>
        <v>YES</v>
      </c>
    </row>
    <row r="167">
      <c r="A167" s="3">
        <v>166.0</v>
      </c>
      <c r="B167" s="4">
        <v>45810.0</v>
      </c>
      <c r="C167" s="3" t="s">
        <v>184</v>
      </c>
      <c r="D167" s="3" t="s">
        <v>10</v>
      </c>
      <c r="E167" s="3">
        <v>46.0</v>
      </c>
      <c r="F167" s="3" t="s">
        <v>15</v>
      </c>
      <c r="G167" s="3">
        <v>4.0</v>
      </c>
      <c r="H167" s="3">
        <v>395.0</v>
      </c>
      <c r="I167" s="3">
        <v>1580.0</v>
      </c>
      <c r="J167" s="2">
        <f t="shared" si="1"/>
        <v>2025</v>
      </c>
      <c r="K167" s="2">
        <f t="shared" si="2"/>
        <v>6</v>
      </c>
      <c r="L167" s="5" t="str">
        <f t="shared" si="3"/>
        <v>YES</v>
      </c>
    </row>
    <row r="168">
      <c r="A168" s="3">
        <v>167.0</v>
      </c>
      <c r="B168" s="4">
        <v>45933.0</v>
      </c>
      <c r="C168" s="3" t="s">
        <v>185</v>
      </c>
      <c r="D168" s="3" t="s">
        <v>17</v>
      </c>
      <c r="E168" s="3">
        <v>47.0</v>
      </c>
      <c r="F168" s="3" t="s">
        <v>54</v>
      </c>
      <c r="G168" s="3">
        <v>3.0</v>
      </c>
      <c r="H168" s="3">
        <v>60.0</v>
      </c>
      <c r="I168" s="3">
        <v>180.0</v>
      </c>
      <c r="J168" s="2">
        <f t="shared" si="1"/>
        <v>2025</v>
      </c>
      <c r="K168" s="2">
        <f t="shared" si="2"/>
        <v>10</v>
      </c>
      <c r="L168" s="5" t="str">
        <f t="shared" si="3"/>
        <v>NO</v>
      </c>
    </row>
    <row r="169">
      <c r="A169" s="3">
        <v>168.0</v>
      </c>
      <c r="B169" s="4">
        <v>45822.0</v>
      </c>
      <c r="C169" s="3" t="s">
        <v>186</v>
      </c>
      <c r="D169" s="3" t="s">
        <v>17</v>
      </c>
      <c r="E169" s="3">
        <v>32.0</v>
      </c>
      <c r="F169" s="3" t="s">
        <v>20</v>
      </c>
      <c r="G169" s="3">
        <v>5.0</v>
      </c>
      <c r="H169" s="3">
        <v>95.0</v>
      </c>
      <c r="I169" s="3">
        <v>475.0</v>
      </c>
      <c r="J169" s="2">
        <f t="shared" si="1"/>
        <v>2025</v>
      </c>
      <c r="K169" s="2">
        <f t="shared" si="2"/>
        <v>6</v>
      </c>
      <c r="L169" s="5" t="str">
        <f t="shared" si="3"/>
        <v>NO</v>
      </c>
    </row>
    <row r="170">
      <c r="A170" s="3">
        <v>169.0</v>
      </c>
      <c r="B170" s="4">
        <v>45868.0</v>
      </c>
      <c r="C170" s="3" t="s">
        <v>187</v>
      </c>
      <c r="D170" s="3" t="s">
        <v>17</v>
      </c>
      <c r="E170" s="3">
        <v>42.0</v>
      </c>
      <c r="F170" s="3" t="s">
        <v>11</v>
      </c>
      <c r="G170" s="3">
        <v>4.0</v>
      </c>
      <c r="H170" s="3">
        <v>115.0</v>
      </c>
      <c r="I170" s="3">
        <v>460.0</v>
      </c>
      <c r="J170" s="2">
        <f t="shared" si="1"/>
        <v>2025</v>
      </c>
      <c r="K170" s="2">
        <f t="shared" si="2"/>
        <v>7</v>
      </c>
      <c r="L170" s="5" t="str">
        <f t="shared" si="3"/>
        <v>NO</v>
      </c>
    </row>
    <row r="171">
      <c r="A171" s="3">
        <v>170.0</v>
      </c>
      <c r="B171" s="4">
        <v>45997.0</v>
      </c>
      <c r="C171" s="3" t="s">
        <v>188</v>
      </c>
      <c r="D171" s="3" t="s">
        <v>10</v>
      </c>
      <c r="E171" s="3">
        <v>50.0</v>
      </c>
      <c r="F171" s="3" t="s">
        <v>20</v>
      </c>
      <c r="G171" s="3">
        <v>1.0</v>
      </c>
      <c r="H171" s="3">
        <v>175.0</v>
      </c>
      <c r="I171" s="3">
        <v>175.0</v>
      </c>
      <c r="J171" s="2">
        <f t="shared" si="1"/>
        <v>2025</v>
      </c>
      <c r="K171" s="2">
        <f t="shared" si="2"/>
        <v>12</v>
      </c>
      <c r="L171" s="5" t="str">
        <f t="shared" si="3"/>
        <v>NO</v>
      </c>
    </row>
    <row r="172">
      <c r="A172" s="3">
        <v>171.0</v>
      </c>
      <c r="B172" s="4">
        <v>45960.0</v>
      </c>
      <c r="C172" s="3" t="s">
        <v>189</v>
      </c>
      <c r="D172" s="3" t="s">
        <v>10</v>
      </c>
      <c r="E172" s="3">
        <v>51.0</v>
      </c>
      <c r="F172" s="3" t="s">
        <v>22</v>
      </c>
      <c r="G172" s="3">
        <v>4.0</v>
      </c>
      <c r="H172" s="3">
        <v>355.0</v>
      </c>
      <c r="I172" s="3">
        <v>1420.0</v>
      </c>
      <c r="J172" s="2">
        <f t="shared" si="1"/>
        <v>2025</v>
      </c>
      <c r="K172" s="2">
        <f t="shared" si="2"/>
        <v>10</v>
      </c>
      <c r="L172" s="5" t="str">
        <f t="shared" si="3"/>
        <v>YES</v>
      </c>
    </row>
    <row r="173">
      <c r="A173" s="3">
        <v>172.0</v>
      </c>
      <c r="B173" s="4">
        <v>45891.0</v>
      </c>
      <c r="C173" s="3" t="s">
        <v>190</v>
      </c>
      <c r="D173" s="3" t="s">
        <v>17</v>
      </c>
      <c r="E173" s="3">
        <v>59.0</v>
      </c>
      <c r="F173" s="3" t="s">
        <v>11</v>
      </c>
      <c r="G173" s="3">
        <v>2.0</v>
      </c>
      <c r="H173" s="3">
        <v>245.0</v>
      </c>
      <c r="I173" s="3">
        <v>490.0</v>
      </c>
      <c r="J173" s="2">
        <f t="shared" si="1"/>
        <v>2025</v>
      </c>
      <c r="K173" s="2">
        <f t="shared" si="2"/>
        <v>8</v>
      </c>
      <c r="L173" s="5" t="str">
        <f t="shared" si="3"/>
        <v>NO</v>
      </c>
    </row>
    <row r="174">
      <c r="A174" s="3">
        <v>173.0</v>
      </c>
      <c r="B174" s="4">
        <v>45737.0</v>
      </c>
      <c r="C174" s="3" t="s">
        <v>191</v>
      </c>
      <c r="D174" s="3" t="s">
        <v>17</v>
      </c>
      <c r="E174" s="3">
        <v>57.0</v>
      </c>
      <c r="F174" s="3" t="s">
        <v>11</v>
      </c>
      <c r="G174" s="3">
        <v>3.0</v>
      </c>
      <c r="H174" s="3">
        <v>165.0</v>
      </c>
      <c r="I174" s="3">
        <v>495.0</v>
      </c>
      <c r="J174" s="2">
        <f t="shared" si="1"/>
        <v>2025</v>
      </c>
      <c r="K174" s="2">
        <f t="shared" si="2"/>
        <v>3</v>
      </c>
      <c r="L174" s="5" t="str">
        <f t="shared" si="3"/>
        <v>NO</v>
      </c>
    </row>
    <row r="175">
      <c r="A175" s="3">
        <v>174.0</v>
      </c>
      <c r="B175" s="4">
        <v>46012.0</v>
      </c>
      <c r="C175" s="3" t="s">
        <v>192</v>
      </c>
      <c r="D175" s="3" t="s">
        <v>17</v>
      </c>
      <c r="E175" s="3">
        <v>52.0</v>
      </c>
      <c r="F175" s="3" t="s">
        <v>54</v>
      </c>
      <c r="G175" s="3">
        <v>1.0</v>
      </c>
      <c r="H175" s="3">
        <v>105.0</v>
      </c>
      <c r="I175" s="3">
        <v>105.0</v>
      </c>
      <c r="J175" s="2">
        <f t="shared" si="1"/>
        <v>2025</v>
      </c>
      <c r="K175" s="2">
        <f t="shared" si="2"/>
        <v>12</v>
      </c>
      <c r="L175" s="5" t="str">
        <f t="shared" si="3"/>
        <v>NO</v>
      </c>
    </row>
    <row r="176">
      <c r="A176" s="3">
        <v>175.0</v>
      </c>
      <c r="B176" s="4">
        <v>45852.0</v>
      </c>
      <c r="C176" s="3" t="s">
        <v>193</v>
      </c>
      <c r="D176" s="3" t="s">
        <v>10</v>
      </c>
      <c r="E176" s="3">
        <v>57.0</v>
      </c>
      <c r="F176" s="3" t="s">
        <v>22</v>
      </c>
      <c r="G176" s="3">
        <v>5.0</v>
      </c>
      <c r="H176" s="3">
        <v>1345.0</v>
      </c>
      <c r="I176" s="3">
        <v>6725.0</v>
      </c>
      <c r="J176" s="2">
        <f t="shared" si="1"/>
        <v>2025</v>
      </c>
      <c r="K176" s="2">
        <f t="shared" si="2"/>
        <v>7</v>
      </c>
      <c r="L176" s="5" t="str">
        <f t="shared" si="3"/>
        <v>YES</v>
      </c>
    </row>
    <row r="177">
      <c r="A177" s="3">
        <v>176.0</v>
      </c>
      <c r="B177" s="4">
        <v>45693.0</v>
      </c>
      <c r="C177" s="3" t="s">
        <v>194</v>
      </c>
      <c r="D177" s="3" t="s">
        <v>10</v>
      </c>
      <c r="E177" s="3">
        <v>45.0</v>
      </c>
      <c r="F177" s="3" t="s">
        <v>20</v>
      </c>
      <c r="G177" s="3">
        <v>2.0</v>
      </c>
      <c r="H177" s="3">
        <v>110.0</v>
      </c>
      <c r="I177" s="3">
        <v>220.0</v>
      </c>
      <c r="J177" s="2">
        <f t="shared" si="1"/>
        <v>2025</v>
      </c>
      <c r="K177" s="2">
        <f t="shared" si="2"/>
        <v>2</v>
      </c>
      <c r="L177" s="5" t="str">
        <f t="shared" si="3"/>
        <v>NO</v>
      </c>
    </row>
    <row r="178">
      <c r="A178" s="3">
        <v>177.0</v>
      </c>
      <c r="B178" s="4">
        <v>45708.0</v>
      </c>
      <c r="C178" s="3" t="s">
        <v>195</v>
      </c>
      <c r="D178" s="3" t="s">
        <v>17</v>
      </c>
      <c r="E178" s="3">
        <v>19.0</v>
      </c>
      <c r="F178" s="3" t="s">
        <v>11</v>
      </c>
      <c r="G178" s="3">
        <v>2.0</v>
      </c>
      <c r="H178" s="3">
        <v>155.0</v>
      </c>
      <c r="I178" s="3">
        <v>310.0</v>
      </c>
      <c r="J178" s="2">
        <f t="shared" si="1"/>
        <v>2025</v>
      </c>
      <c r="K178" s="2">
        <f t="shared" si="2"/>
        <v>2</v>
      </c>
      <c r="L178" s="5" t="str">
        <f t="shared" si="3"/>
        <v>NO</v>
      </c>
    </row>
    <row r="179">
      <c r="A179" s="3">
        <v>178.0</v>
      </c>
      <c r="B179" s="4">
        <v>45681.0</v>
      </c>
      <c r="C179" s="3" t="s">
        <v>196</v>
      </c>
      <c r="D179" s="3" t="s">
        <v>17</v>
      </c>
      <c r="E179" s="3">
        <v>41.0</v>
      </c>
      <c r="F179" s="3" t="s">
        <v>22</v>
      </c>
      <c r="G179" s="3">
        <v>3.0</v>
      </c>
      <c r="H179" s="3">
        <v>240.0</v>
      </c>
      <c r="I179" s="3">
        <v>720.0</v>
      </c>
      <c r="J179" s="2">
        <f t="shared" si="1"/>
        <v>2025</v>
      </c>
      <c r="K179" s="2">
        <f t="shared" si="2"/>
        <v>1</v>
      </c>
      <c r="L179" s="5" t="str">
        <f t="shared" si="3"/>
        <v>NO</v>
      </c>
    </row>
    <row r="180">
      <c r="A180" s="3">
        <v>179.0</v>
      </c>
      <c r="B180" s="4">
        <v>45878.0</v>
      </c>
      <c r="C180" s="3" t="s">
        <v>197</v>
      </c>
      <c r="D180" s="3" t="s">
        <v>17</v>
      </c>
      <c r="E180" s="3">
        <v>54.0</v>
      </c>
      <c r="F180" s="3" t="s">
        <v>20</v>
      </c>
      <c r="G180" s="3">
        <v>5.0</v>
      </c>
      <c r="H180" s="3">
        <v>95.0</v>
      </c>
      <c r="I180" s="3">
        <v>475.0</v>
      </c>
      <c r="J180" s="2">
        <f t="shared" si="1"/>
        <v>2025</v>
      </c>
      <c r="K180" s="2">
        <f t="shared" si="2"/>
        <v>8</v>
      </c>
      <c r="L180" s="5" t="str">
        <f t="shared" si="3"/>
        <v>NO</v>
      </c>
    </row>
    <row r="181">
      <c r="A181" s="3">
        <v>180.0</v>
      </c>
      <c r="B181" s="4">
        <v>46007.0</v>
      </c>
      <c r="C181" s="3" t="s">
        <v>198</v>
      </c>
      <c r="D181" s="3" t="s">
        <v>10</v>
      </c>
      <c r="E181" s="3">
        <v>57.0</v>
      </c>
      <c r="F181" s="3" t="s">
        <v>20</v>
      </c>
      <c r="G181" s="3">
        <v>2.0</v>
      </c>
      <c r="H181" s="3">
        <v>70.0</v>
      </c>
      <c r="I181" s="3">
        <v>140.0</v>
      </c>
      <c r="J181" s="2">
        <f t="shared" si="1"/>
        <v>2025</v>
      </c>
      <c r="K181" s="2">
        <f t="shared" si="2"/>
        <v>12</v>
      </c>
      <c r="L181" s="5" t="str">
        <f t="shared" si="3"/>
        <v>NO</v>
      </c>
    </row>
    <row r="182">
      <c r="A182" s="3">
        <v>181.0</v>
      </c>
      <c r="B182" s="4">
        <v>45853.0</v>
      </c>
      <c r="C182" s="3" t="s">
        <v>199</v>
      </c>
      <c r="D182" s="3" t="s">
        <v>17</v>
      </c>
      <c r="E182" s="3">
        <v>55.0</v>
      </c>
      <c r="F182" s="3" t="s">
        <v>15</v>
      </c>
      <c r="G182" s="3">
        <v>2.0</v>
      </c>
      <c r="H182" s="3">
        <v>460.0</v>
      </c>
      <c r="I182" s="3">
        <v>920.0</v>
      </c>
      <c r="J182" s="2">
        <f t="shared" si="1"/>
        <v>2025</v>
      </c>
      <c r="K182" s="2">
        <f t="shared" si="2"/>
        <v>7</v>
      </c>
      <c r="L182" s="5" t="str">
        <f t="shared" si="3"/>
        <v>NO</v>
      </c>
    </row>
    <row r="183">
      <c r="A183" s="3">
        <v>182.0</v>
      </c>
      <c r="B183" s="4">
        <v>45731.0</v>
      </c>
      <c r="C183" s="3" t="s">
        <v>200</v>
      </c>
      <c r="D183" s="3" t="s">
        <v>17</v>
      </c>
      <c r="E183" s="3">
        <v>34.0</v>
      </c>
      <c r="F183" s="3" t="s">
        <v>20</v>
      </c>
      <c r="G183" s="3">
        <v>3.0</v>
      </c>
      <c r="H183" s="3">
        <v>165.0</v>
      </c>
      <c r="I183" s="3">
        <v>495.0</v>
      </c>
      <c r="J183" s="2">
        <f t="shared" si="1"/>
        <v>2025</v>
      </c>
      <c r="K183" s="2">
        <f t="shared" si="2"/>
        <v>3</v>
      </c>
      <c r="L183" s="5" t="str">
        <f t="shared" si="3"/>
        <v>NO</v>
      </c>
    </row>
    <row r="184">
      <c r="A184" s="3">
        <v>183.0</v>
      </c>
      <c r="B184" s="4">
        <v>45999.0</v>
      </c>
      <c r="C184" s="3" t="s">
        <v>201</v>
      </c>
      <c r="D184" s="3" t="s">
        <v>10</v>
      </c>
      <c r="E184" s="3">
        <v>22.0</v>
      </c>
      <c r="F184" s="3" t="s">
        <v>11</v>
      </c>
      <c r="G184" s="3">
        <v>3.0</v>
      </c>
      <c r="H184" s="3">
        <v>160.0</v>
      </c>
      <c r="I184" s="3">
        <v>480.0</v>
      </c>
      <c r="J184" s="2">
        <f t="shared" si="1"/>
        <v>2025</v>
      </c>
      <c r="K184" s="2">
        <f t="shared" si="2"/>
        <v>12</v>
      </c>
      <c r="L184" s="5" t="str">
        <f t="shared" si="3"/>
        <v>NO</v>
      </c>
    </row>
    <row r="185">
      <c r="A185" s="3">
        <v>184.0</v>
      </c>
      <c r="B185" s="4">
        <v>45884.0</v>
      </c>
      <c r="C185" s="3" t="s">
        <v>202</v>
      </c>
      <c r="D185" s="3" t="s">
        <v>17</v>
      </c>
      <c r="E185" s="3">
        <v>47.0</v>
      </c>
      <c r="F185" s="3" t="s">
        <v>22</v>
      </c>
      <c r="G185" s="3">
        <v>4.0</v>
      </c>
      <c r="H185" s="3">
        <v>865.0</v>
      </c>
      <c r="I185" s="3">
        <v>3460.0</v>
      </c>
      <c r="J185" s="2">
        <f t="shared" si="1"/>
        <v>2025</v>
      </c>
      <c r="K185" s="2">
        <f t="shared" si="2"/>
        <v>8</v>
      </c>
      <c r="L185" s="5" t="str">
        <f t="shared" si="3"/>
        <v>YES</v>
      </c>
    </row>
    <row r="186">
      <c r="A186" s="3">
        <v>185.0</v>
      </c>
      <c r="B186" s="4">
        <v>45812.0</v>
      </c>
      <c r="C186" s="3" t="s">
        <v>203</v>
      </c>
      <c r="D186" s="3" t="s">
        <v>10</v>
      </c>
      <c r="E186" s="3">
        <v>33.0</v>
      </c>
      <c r="F186" s="3" t="s">
        <v>20</v>
      </c>
      <c r="G186" s="3">
        <v>4.0</v>
      </c>
      <c r="H186" s="3">
        <v>140.0</v>
      </c>
      <c r="I186" s="3">
        <v>560.0</v>
      </c>
      <c r="J186" s="2">
        <f t="shared" si="1"/>
        <v>2025</v>
      </c>
      <c r="K186" s="2">
        <f t="shared" si="2"/>
        <v>6</v>
      </c>
      <c r="L186" s="5" t="str">
        <f t="shared" si="3"/>
        <v>NO</v>
      </c>
    </row>
    <row r="187">
      <c r="A187" s="3">
        <v>186.0</v>
      </c>
      <c r="B187" s="4">
        <v>45853.0</v>
      </c>
      <c r="C187" s="3" t="s">
        <v>204</v>
      </c>
      <c r="D187" s="3" t="s">
        <v>17</v>
      </c>
      <c r="E187" s="3">
        <v>36.0</v>
      </c>
      <c r="F187" s="3" t="s">
        <v>15</v>
      </c>
      <c r="G187" s="3">
        <v>5.0</v>
      </c>
      <c r="H187" s="3">
        <v>250.0</v>
      </c>
      <c r="I187" s="3">
        <v>1250.0</v>
      </c>
      <c r="J187" s="2">
        <f t="shared" si="1"/>
        <v>2025</v>
      </c>
      <c r="K187" s="2">
        <f t="shared" si="2"/>
        <v>7</v>
      </c>
      <c r="L187" s="5" t="str">
        <f t="shared" si="3"/>
        <v>YES</v>
      </c>
    </row>
    <row r="188">
      <c r="A188" s="3">
        <v>187.0</v>
      </c>
      <c r="B188" s="4">
        <v>45669.0</v>
      </c>
      <c r="C188" s="3" t="s">
        <v>205</v>
      </c>
      <c r="D188" s="3" t="s">
        <v>10</v>
      </c>
      <c r="E188" s="3">
        <v>56.0</v>
      </c>
      <c r="F188" s="3" t="s">
        <v>54</v>
      </c>
      <c r="G188" s="3">
        <v>1.0</v>
      </c>
      <c r="H188" s="3">
        <v>45.0</v>
      </c>
      <c r="I188" s="3">
        <v>45.0</v>
      </c>
      <c r="J188" s="2">
        <f t="shared" si="1"/>
        <v>2025</v>
      </c>
      <c r="K188" s="2">
        <f t="shared" si="2"/>
        <v>1</v>
      </c>
      <c r="L188" s="5" t="str">
        <f t="shared" si="3"/>
        <v>NO</v>
      </c>
    </row>
    <row r="189">
      <c r="A189" s="3">
        <v>188.0</v>
      </c>
      <c r="B189" s="4">
        <v>45912.0</v>
      </c>
      <c r="C189" s="3" t="s">
        <v>206</v>
      </c>
      <c r="D189" s="3" t="s">
        <v>17</v>
      </c>
      <c r="E189" s="3">
        <v>32.0</v>
      </c>
      <c r="F189" s="3" t="s">
        <v>22</v>
      </c>
      <c r="G189" s="3">
        <v>5.0</v>
      </c>
      <c r="H189" s="3">
        <v>685.0</v>
      </c>
      <c r="I189" s="3">
        <v>3425.0</v>
      </c>
      <c r="J189" s="2">
        <f t="shared" si="1"/>
        <v>2025</v>
      </c>
      <c r="K189" s="2">
        <f t="shared" si="2"/>
        <v>9</v>
      </c>
      <c r="L189" s="5" t="str">
        <f t="shared" si="3"/>
        <v>YES</v>
      </c>
    </row>
    <row r="190">
      <c r="A190" s="3">
        <v>189.0</v>
      </c>
      <c r="B190" s="4">
        <v>45983.0</v>
      </c>
      <c r="C190" s="3" t="s">
        <v>207</v>
      </c>
      <c r="D190" s="3" t="s">
        <v>10</v>
      </c>
      <c r="E190" s="3">
        <v>58.0</v>
      </c>
      <c r="F190" s="3" t="s">
        <v>20</v>
      </c>
      <c r="G190" s="3">
        <v>2.0</v>
      </c>
      <c r="H190" s="3">
        <v>100.0</v>
      </c>
      <c r="I190" s="3">
        <v>200.0</v>
      </c>
      <c r="J190" s="2">
        <f t="shared" si="1"/>
        <v>2025</v>
      </c>
      <c r="K190" s="2">
        <f t="shared" si="2"/>
        <v>11</v>
      </c>
      <c r="L190" s="5" t="str">
        <f t="shared" si="3"/>
        <v>NO</v>
      </c>
    </row>
    <row r="191">
      <c r="A191" s="3">
        <v>190.0</v>
      </c>
      <c r="B191" s="4">
        <v>45988.0</v>
      </c>
      <c r="C191" s="3" t="s">
        <v>208</v>
      </c>
      <c r="D191" s="3" t="s">
        <v>10</v>
      </c>
      <c r="E191" s="3">
        <v>55.0</v>
      </c>
      <c r="F191" s="3" t="s">
        <v>11</v>
      </c>
      <c r="G191" s="3">
        <v>4.0</v>
      </c>
      <c r="H191" s="3">
        <v>110.0</v>
      </c>
      <c r="I191" s="3">
        <v>440.0</v>
      </c>
      <c r="J191" s="2">
        <f t="shared" si="1"/>
        <v>2025</v>
      </c>
      <c r="K191" s="2">
        <f t="shared" si="2"/>
        <v>11</v>
      </c>
      <c r="L191" s="5" t="str">
        <f t="shared" si="3"/>
        <v>NO</v>
      </c>
    </row>
    <row r="192">
      <c r="A192" s="3">
        <v>191.0</v>
      </c>
      <c r="B192" s="4">
        <v>45844.0</v>
      </c>
      <c r="C192" s="3" t="s">
        <v>209</v>
      </c>
      <c r="D192" s="3" t="s">
        <v>17</v>
      </c>
      <c r="E192" s="3">
        <v>44.0</v>
      </c>
      <c r="F192" s="3" t="s">
        <v>20</v>
      </c>
      <c r="G192" s="3">
        <v>3.0</v>
      </c>
      <c r="H192" s="3">
        <v>45.0</v>
      </c>
      <c r="I192" s="3">
        <v>135.0</v>
      </c>
      <c r="J192" s="2">
        <f t="shared" si="1"/>
        <v>2025</v>
      </c>
      <c r="K192" s="2">
        <f t="shared" si="2"/>
        <v>7</v>
      </c>
      <c r="L192" s="5" t="str">
        <f t="shared" si="3"/>
        <v>NO</v>
      </c>
    </row>
    <row r="193">
      <c r="A193" s="3">
        <v>192.0</v>
      </c>
      <c r="B193" s="4">
        <v>45747.0</v>
      </c>
      <c r="C193" s="3" t="s">
        <v>210</v>
      </c>
      <c r="D193" s="3" t="s">
        <v>17</v>
      </c>
      <c r="E193" s="3">
        <v>51.0</v>
      </c>
      <c r="F193" s="3" t="s">
        <v>20</v>
      </c>
      <c r="G193" s="3">
        <v>5.0</v>
      </c>
      <c r="H193" s="3">
        <v>60.0</v>
      </c>
      <c r="I193" s="3">
        <v>300.0</v>
      </c>
      <c r="J193" s="2">
        <f t="shared" si="1"/>
        <v>2025</v>
      </c>
      <c r="K193" s="2">
        <f t="shared" si="2"/>
        <v>3</v>
      </c>
      <c r="L193" s="5" t="str">
        <f t="shared" si="3"/>
        <v>NO</v>
      </c>
    </row>
    <row r="194">
      <c r="A194" s="3">
        <v>193.0</v>
      </c>
      <c r="B194" s="4">
        <v>45914.0</v>
      </c>
      <c r="C194" s="3" t="s">
        <v>211</v>
      </c>
      <c r="D194" s="3" t="s">
        <v>17</v>
      </c>
      <c r="E194" s="3">
        <v>36.0</v>
      </c>
      <c r="F194" s="3" t="s">
        <v>22</v>
      </c>
      <c r="G194" s="3">
        <v>3.0</v>
      </c>
      <c r="H194" s="3">
        <v>520.0</v>
      </c>
      <c r="I194" s="3">
        <v>1560.0</v>
      </c>
      <c r="J194" s="2">
        <f t="shared" si="1"/>
        <v>2025</v>
      </c>
      <c r="K194" s="2">
        <f t="shared" si="2"/>
        <v>9</v>
      </c>
      <c r="L194" s="5" t="str">
        <f t="shared" si="3"/>
        <v>YES</v>
      </c>
    </row>
    <row r="195">
      <c r="A195" s="3">
        <v>194.0</v>
      </c>
      <c r="B195" s="4">
        <v>45831.0</v>
      </c>
      <c r="C195" s="3" t="s">
        <v>212</v>
      </c>
      <c r="D195" s="3" t="s">
        <v>10</v>
      </c>
      <c r="E195" s="3">
        <v>32.0</v>
      </c>
      <c r="F195" s="3" t="s">
        <v>11</v>
      </c>
      <c r="G195" s="3">
        <v>1.0</v>
      </c>
      <c r="H195" s="3">
        <v>160.0</v>
      </c>
      <c r="I195" s="3">
        <v>160.0</v>
      </c>
      <c r="J195" s="2">
        <f t="shared" si="1"/>
        <v>2025</v>
      </c>
      <c r="K195" s="2">
        <f t="shared" si="2"/>
        <v>6</v>
      </c>
      <c r="L195" s="5" t="str">
        <f t="shared" si="3"/>
        <v>NO</v>
      </c>
    </row>
    <row r="196">
      <c r="A196" s="3">
        <v>195.0</v>
      </c>
      <c r="B196" s="4">
        <v>46004.0</v>
      </c>
      <c r="C196" s="3" t="s">
        <v>213</v>
      </c>
      <c r="D196" s="3" t="s">
        <v>10</v>
      </c>
      <c r="E196" s="3">
        <v>43.0</v>
      </c>
      <c r="F196" s="3" t="s">
        <v>54</v>
      </c>
      <c r="G196" s="3">
        <v>3.0</v>
      </c>
      <c r="H196" s="3">
        <v>90.0</v>
      </c>
      <c r="I196" s="3">
        <v>270.0</v>
      </c>
      <c r="J196" s="2">
        <f t="shared" si="1"/>
        <v>2025</v>
      </c>
      <c r="K196" s="2">
        <f t="shared" si="2"/>
        <v>12</v>
      </c>
      <c r="L196" s="5" t="str">
        <f t="shared" si="3"/>
        <v>NO</v>
      </c>
    </row>
    <row r="197">
      <c r="A197" s="3">
        <v>196.0</v>
      </c>
      <c r="B197" s="4">
        <v>45665.0</v>
      </c>
      <c r="C197" s="3" t="s">
        <v>214</v>
      </c>
      <c r="D197" s="3" t="s">
        <v>17</v>
      </c>
      <c r="E197" s="3">
        <v>41.0</v>
      </c>
      <c r="F197" s="3" t="s">
        <v>22</v>
      </c>
      <c r="G197" s="3">
        <v>1.0</v>
      </c>
      <c r="H197" s="3">
        <v>1470.0</v>
      </c>
      <c r="I197" s="3">
        <v>1470.0</v>
      </c>
      <c r="J197" s="2">
        <f t="shared" si="1"/>
        <v>2025</v>
      </c>
      <c r="K197" s="2">
        <f t="shared" si="2"/>
        <v>1</v>
      </c>
      <c r="L197" s="5" t="str">
        <f t="shared" si="3"/>
        <v>YES</v>
      </c>
    </row>
    <row r="198">
      <c r="A198" s="3">
        <v>197.0</v>
      </c>
      <c r="B198" s="4">
        <v>46002.0</v>
      </c>
      <c r="C198" s="3" t="s">
        <v>215</v>
      </c>
      <c r="D198" s="3" t="s">
        <v>10</v>
      </c>
      <c r="E198" s="3">
        <v>32.0</v>
      </c>
      <c r="F198" s="3" t="s">
        <v>22</v>
      </c>
      <c r="G198" s="3">
        <v>3.0</v>
      </c>
      <c r="H198" s="3">
        <v>1075.0</v>
      </c>
      <c r="I198" s="3">
        <v>3225.0</v>
      </c>
      <c r="J198" s="2">
        <f t="shared" si="1"/>
        <v>2025</v>
      </c>
      <c r="K198" s="2">
        <f t="shared" si="2"/>
        <v>12</v>
      </c>
      <c r="L198" s="5" t="str">
        <f t="shared" si="3"/>
        <v>YES</v>
      </c>
    </row>
    <row r="199">
      <c r="A199" s="3">
        <v>198.0</v>
      </c>
      <c r="B199" s="4">
        <v>45899.0</v>
      </c>
      <c r="C199" s="3" t="s">
        <v>216</v>
      </c>
      <c r="D199" s="3" t="s">
        <v>17</v>
      </c>
      <c r="E199" s="3">
        <v>57.0</v>
      </c>
      <c r="F199" s="3" t="s">
        <v>11</v>
      </c>
      <c r="G199" s="3">
        <v>5.0</v>
      </c>
      <c r="H199" s="3">
        <v>210.0</v>
      </c>
      <c r="I199" s="3">
        <v>1050.0</v>
      </c>
      <c r="J199" s="2">
        <f t="shared" si="1"/>
        <v>2025</v>
      </c>
      <c r="K199" s="2">
        <f t="shared" si="2"/>
        <v>8</v>
      </c>
      <c r="L199" s="5" t="str">
        <f t="shared" si="3"/>
        <v>YES</v>
      </c>
    </row>
    <row r="200">
      <c r="A200" s="3">
        <v>199.0</v>
      </c>
      <c r="B200" s="4">
        <v>45771.0</v>
      </c>
      <c r="C200" s="3" t="s">
        <v>217</v>
      </c>
      <c r="D200" s="3" t="s">
        <v>17</v>
      </c>
      <c r="E200" s="3">
        <v>59.0</v>
      </c>
      <c r="F200" s="3" t="s">
        <v>11</v>
      </c>
      <c r="G200" s="3">
        <v>4.0</v>
      </c>
      <c r="H200" s="3">
        <v>215.0</v>
      </c>
      <c r="I200" s="3">
        <v>860.0</v>
      </c>
      <c r="J200" s="2">
        <f t="shared" si="1"/>
        <v>2025</v>
      </c>
      <c r="K200" s="2">
        <f t="shared" si="2"/>
        <v>4</v>
      </c>
      <c r="L200" s="5" t="str">
        <f t="shared" si="3"/>
        <v>NO</v>
      </c>
    </row>
    <row r="201">
      <c r="A201" s="3">
        <v>200.0</v>
      </c>
      <c r="B201" s="4">
        <v>45867.0</v>
      </c>
      <c r="C201" s="3" t="s">
        <v>218</v>
      </c>
      <c r="D201" s="3" t="s">
        <v>10</v>
      </c>
      <c r="E201" s="3">
        <v>37.0</v>
      </c>
      <c r="F201" s="3" t="s">
        <v>11</v>
      </c>
      <c r="G201" s="3">
        <v>1.0</v>
      </c>
      <c r="H201" s="3">
        <v>55.0</v>
      </c>
      <c r="I201" s="3">
        <v>55.0</v>
      </c>
      <c r="J201" s="2">
        <f t="shared" si="1"/>
        <v>2025</v>
      </c>
      <c r="K201" s="2">
        <f t="shared" si="2"/>
        <v>7</v>
      </c>
      <c r="L201" s="5" t="str">
        <f t="shared" si="3"/>
        <v>NO</v>
      </c>
    </row>
    <row r="202">
      <c r="A202" s="3">
        <v>201.0</v>
      </c>
      <c r="B202" s="4">
        <v>45910.0</v>
      </c>
      <c r="C202" s="3" t="s">
        <v>219</v>
      </c>
      <c r="D202" s="3" t="s">
        <v>10</v>
      </c>
      <c r="E202" s="3">
        <v>42.0</v>
      </c>
      <c r="F202" s="3" t="s">
        <v>11</v>
      </c>
      <c r="G202" s="3">
        <v>2.0</v>
      </c>
      <c r="H202" s="3">
        <v>45.0</v>
      </c>
      <c r="I202" s="3">
        <v>90.0</v>
      </c>
      <c r="J202" s="2">
        <f t="shared" si="1"/>
        <v>2025</v>
      </c>
      <c r="K202" s="2">
        <f t="shared" si="2"/>
        <v>9</v>
      </c>
      <c r="L202" s="5" t="str">
        <f t="shared" si="3"/>
        <v>NO</v>
      </c>
    </row>
    <row r="203">
      <c r="A203" s="3">
        <v>202.0</v>
      </c>
      <c r="B203" s="4">
        <v>45890.0</v>
      </c>
      <c r="C203" s="3" t="s">
        <v>220</v>
      </c>
      <c r="D203" s="3" t="s">
        <v>10</v>
      </c>
      <c r="E203" s="3">
        <v>44.0</v>
      </c>
      <c r="F203" s="3" t="s">
        <v>22</v>
      </c>
      <c r="G203" s="3">
        <v>4.0</v>
      </c>
      <c r="H203" s="3">
        <v>1480.0</v>
      </c>
      <c r="I203" s="3">
        <v>5920.0</v>
      </c>
      <c r="J203" s="2">
        <f t="shared" si="1"/>
        <v>2025</v>
      </c>
      <c r="K203" s="2">
        <f t="shared" si="2"/>
        <v>8</v>
      </c>
      <c r="L203" s="5" t="str">
        <f t="shared" si="3"/>
        <v>YES</v>
      </c>
    </row>
    <row r="204">
      <c r="A204" s="3">
        <v>203.0</v>
      </c>
      <c r="B204" s="4">
        <v>45993.0</v>
      </c>
      <c r="C204" s="3" t="s">
        <v>221</v>
      </c>
      <c r="D204" s="3" t="s">
        <v>17</v>
      </c>
      <c r="E204" s="3">
        <v>35.0</v>
      </c>
      <c r="F204" s="3" t="s">
        <v>11</v>
      </c>
      <c r="G204" s="3">
        <v>5.0</v>
      </c>
      <c r="H204" s="3">
        <v>170.0</v>
      </c>
      <c r="I204" s="3">
        <v>850.0</v>
      </c>
      <c r="J204" s="2">
        <f t="shared" si="1"/>
        <v>2025</v>
      </c>
      <c r="K204" s="2">
        <f t="shared" si="2"/>
        <v>12</v>
      </c>
      <c r="L204" s="5" t="str">
        <f t="shared" si="3"/>
        <v>NO</v>
      </c>
    </row>
    <row r="205">
      <c r="A205" s="3">
        <v>204.0</v>
      </c>
      <c r="B205" s="4">
        <v>45674.0</v>
      </c>
      <c r="C205" s="3" t="s">
        <v>222</v>
      </c>
      <c r="D205" s="3" t="s">
        <v>17</v>
      </c>
      <c r="E205" s="3">
        <v>33.0</v>
      </c>
      <c r="F205" s="3" t="s">
        <v>22</v>
      </c>
      <c r="G205" s="3">
        <v>4.0</v>
      </c>
      <c r="H205" s="3">
        <v>655.0</v>
      </c>
      <c r="I205" s="3">
        <v>2620.0</v>
      </c>
      <c r="J205" s="2">
        <f t="shared" si="1"/>
        <v>2025</v>
      </c>
      <c r="K205" s="2">
        <f t="shared" si="2"/>
        <v>1</v>
      </c>
      <c r="L205" s="5" t="str">
        <f t="shared" si="3"/>
        <v>YES</v>
      </c>
    </row>
    <row r="206">
      <c r="A206" s="3">
        <v>205.0</v>
      </c>
      <c r="B206" s="4">
        <v>45843.0</v>
      </c>
      <c r="C206" s="3" t="s">
        <v>223</v>
      </c>
      <c r="D206" s="3" t="s">
        <v>17</v>
      </c>
      <c r="E206" s="3">
        <v>21.0</v>
      </c>
      <c r="F206" s="3" t="s">
        <v>11</v>
      </c>
      <c r="G206" s="3">
        <v>3.0</v>
      </c>
      <c r="H206" s="3">
        <v>230.0</v>
      </c>
      <c r="I206" s="3">
        <v>690.0</v>
      </c>
      <c r="J206" s="2">
        <f t="shared" si="1"/>
        <v>2025</v>
      </c>
      <c r="K206" s="2">
        <f t="shared" si="2"/>
        <v>7</v>
      </c>
      <c r="L206" s="5" t="str">
        <f t="shared" si="3"/>
        <v>NO</v>
      </c>
    </row>
    <row r="207">
      <c r="A207" s="3">
        <v>206.0</v>
      </c>
      <c r="B207" s="4">
        <v>45861.0</v>
      </c>
      <c r="C207" s="3" t="s">
        <v>224</v>
      </c>
      <c r="D207" s="3" t="s">
        <v>17</v>
      </c>
      <c r="E207" s="3">
        <v>23.0</v>
      </c>
      <c r="F207" s="3" t="s">
        <v>22</v>
      </c>
      <c r="G207" s="3">
        <v>1.0</v>
      </c>
      <c r="H207" s="3">
        <v>585.0</v>
      </c>
      <c r="I207" s="3">
        <v>585.0</v>
      </c>
      <c r="J207" s="2">
        <f t="shared" si="1"/>
        <v>2025</v>
      </c>
      <c r="K207" s="2">
        <f t="shared" si="2"/>
        <v>7</v>
      </c>
      <c r="L207" s="5" t="str">
        <f t="shared" si="3"/>
        <v>NO</v>
      </c>
    </row>
    <row r="208">
      <c r="A208" s="3">
        <v>207.0</v>
      </c>
      <c r="B208" s="4">
        <v>45997.0</v>
      </c>
      <c r="C208" s="3" t="s">
        <v>225</v>
      </c>
      <c r="D208" s="3" t="s">
        <v>17</v>
      </c>
      <c r="E208" s="3">
        <v>33.0</v>
      </c>
      <c r="F208" s="3" t="s">
        <v>20</v>
      </c>
      <c r="G208" s="3">
        <v>1.0</v>
      </c>
      <c r="H208" s="3">
        <v>25.0</v>
      </c>
      <c r="I208" s="3">
        <v>25.0</v>
      </c>
      <c r="J208" s="2">
        <f t="shared" si="1"/>
        <v>2025</v>
      </c>
      <c r="K208" s="2">
        <f t="shared" si="2"/>
        <v>12</v>
      </c>
      <c r="L208" s="5" t="str">
        <f t="shared" si="3"/>
        <v>NO</v>
      </c>
    </row>
    <row r="209">
      <c r="A209" s="3">
        <v>208.0</v>
      </c>
      <c r="B209" s="4">
        <v>45722.0</v>
      </c>
      <c r="C209" s="3" t="s">
        <v>226</v>
      </c>
      <c r="D209" s="3" t="s">
        <v>10</v>
      </c>
      <c r="E209" s="3">
        <v>55.0</v>
      </c>
      <c r="F209" s="3" t="s">
        <v>15</v>
      </c>
      <c r="G209" s="3">
        <v>1.0</v>
      </c>
      <c r="H209" s="3">
        <v>155.0</v>
      </c>
      <c r="I209" s="3">
        <v>155.0</v>
      </c>
      <c r="J209" s="2">
        <f t="shared" si="1"/>
        <v>2025</v>
      </c>
      <c r="K209" s="2">
        <f t="shared" si="2"/>
        <v>3</v>
      </c>
      <c r="L209" s="5" t="str">
        <f t="shared" si="3"/>
        <v>NO</v>
      </c>
    </row>
    <row r="210">
      <c r="A210" s="3">
        <v>209.0</v>
      </c>
      <c r="B210" s="4">
        <v>45768.0</v>
      </c>
      <c r="C210" s="3" t="s">
        <v>227</v>
      </c>
      <c r="D210" s="3" t="s">
        <v>10</v>
      </c>
      <c r="E210" s="3">
        <v>35.0</v>
      </c>
      <c r="F210" s="3" t="s">
        <v>20</v>
      </c>
      <c r="G210" s="3">
        <v>2.0</v>
      </c>
      <c r="H210" s="3">
        <v>125.0</v>
      </c>
      <c r="I210" s="3">
        <v>250.0</v>
      </c>
      <c r="J210" s="2">
        <f t="shared" si="1"/>
        <v>2025</v>
      </c>
      <c r="K210" s="2">
        <f t="shared" si="2"/>
        <v>4</v>
      </c>
      <c r="L210" s="5" t="str">
        <f t="shared" si="3"/>
        <v>NO</v>
      </c>
    </row>
    <row r="211">
      <c r="A211" s="3">
        <v>210.0</v>
      </c>
      <c r="B211" s="4">
        <v>45732.0</v>
      </c>
      <c r="C211" s="3" t="s">
        <v>228</v>
      </c>
      <c r="D211" s="3" t="s">
        <v>10</v>
      </c>
      <c r="E211" s="3">
        <v>60.0</v>
      </c>
      <c r="F211" s="3" t="s">
        <v>20</v>
      </c>
      <c r="G211" s="3">
        <v>2.0</v>
      </c>
      <c r="H211" s="3">
        <v>100.0</v>
      </c>
      <c r="I211" s="3">
        <v>200.0</v>
      </c>
      <c r="J211" s="2">
        <f t="shared" si="1"/>
        <v>2025</v>
      </c>
      <c r="K211" s="2">
        <f t="shared" si="2"/>
        <v>3</v>
      </c>
      <c r="L211" s="5" t="str">
        <f t="shared" si="3"/>
        <v>NO</v>
      </c>
    </row>
    <row r="212">
      <c r="A212" s="3">
        <v>211.0</v>
      </c>
      <c r="B212" s="4">
        <v>45671.0</v>
      </c>
      <c r="C212" s="3" t="s">
        <v>229</v>
      </c>
      <c r="D212" s="3" t="s">
        <v>10</v>
      </c>
      <c r="E212" s="3">
        <v>55.0</v>
      </c>
      <c r="F212" s="3" t="s">
        <v>20</v>
      </c>
      <c r="G212" s="3">
        <v>3.0</v>
      </c>
      <c r="H212" s="3">
        <v>20.0</v>
      </c>
      <c r="I212" s="3">
        <v>60.0</v>
      </c>
      <c r="J212" s="2">
        <f t="shared" si="1"/>
        <v>2025</v>
      </c>
      <c r="K212" s="2">
        <f t="shared" si="2"/>
        <v>1</v>
      </c>
      <c r="L212" s="5" t="str">
        <f t="shared" si="3"/>
        <v>NO</v>
      </c>
    </row>
    <row r="213">
      <c r="A213" s="3">
        <v>212.0</v>
      </c>
      <c r="B213" s="4">
        <v>45823.0</v>
      </c>
      <c r="C213" s="3" t="s">
        <v>230</v>
      </c>
      <c r="D213" s="3" t="s">
        <v>10</v>
      </c>
      <c r="E213" s="3">
        <v>26.0</v>
      </c>
      <c r="F213" s="3" t="s">
        <v>11</v>
      </c>
      <c r="G213" s="3">
        <v>3.0</v>
      </c>
      <c r="H213" s="3">
        <v>70.0</v>
      </c>
      <c r="I213" s="3">
        <v>210.0</v>
      </c>
      <c r="J213" s="2">
        <f t="shared" si="1"/>
        <v>2025</v>
      </c>
      <c r="K213" s="2">
        <f t="shared" si="2"/>
        <v>6</v>
      </c>
      <c r="L213" s="5" t="str">
        <f t="shared" si="3"/>
        <v>NO</v>
      </c>
    </row>
    <row r="214">
      <c r="A214" s="3">
        <v>213.0</v>
      </c>
      <c r="B214" s="4">
        <v>45873.0</v>
      </c>
      <c r="C214" s="3" t="s">
        <v>231</v>
      </c>
      <c r="D214" s="3" t="s">
        <v>17</v>
      </c>
      <c r="E214" s="3">
        <v>46.0</v>
      </c>
      <c r="F214" s="3" t="s">
        <v>15</v>
      </c>
      <c r="G214" s="3">
        <v>1.0</v>
      </c>
      <c r="H214" s="3">
        <v>95.0</v>
      </c>
      <c r="I214" s="3">
        <v>95.0</v>
      </c>
      <c r="J214" s="2">
        <f t="shared" si="1"/>
        <v>2025</v>
      </c>
      <c r="K214" s="2">
        <f t="shared" si="2"/>
        <v>8</v>
      </c>
      <c r="L214" s="5" t="str">
        <f t="shared" si="3"/>
        <v>NO</v>
      </c>
    </row>
    <row r="215">
      <c r="A215" s="3">
        <v>214.0</v>
      </c>
      <c r="B215" s="4">
        <v>45843.0</v>
      </c>
      <c r="C215" s="3" t="s">
        <v>232</v>
      </c>
      <c r="D215" s="3" t="s">
        <v>17</v>
      </c>
      <c r="E215" s="3">
        <v>50.0</v>
      </c>
      <c r="F215" s="3" t="s">
        <v>15</v>
      </c>
      <c r="G215" s="3">
        <v>1.0</v>
      </c>
      <c r="H215" s="3">
        <v>400.0</v>
      </c>
      <c r="I215" s="3">
        <v>400.0</v>
      </c>
      <c r="J215" s="2">
        <f t="shared" si="1"/>
        <v>2025</v>
      </c>
      <c r="K215" s="2">
        <f t="shared" si="2"/>
        <v>7</v>
      </c>
      <c r="L215" s="5" t="str">
        <f t="shared" si="3"/>
        <v>NO</v>
      </c>
    </row>
    <row r="216">
      <c r="A216" s="3">
        <v>215.0</v>
      </c>
      <c r="B216" s="4">
        <v>45771.0</v>
      </c>
      <c r="C216" s="3" t="s">
        <v>233</v>
      </c>
      <c r="D216" s="3" t="s">
        <v>17</v>
      </c>
      <c r="E216" s="3">
        <v>47.0</v>
      </c>
      <c r="F216" s="3" t="s">
        <v>15</v>
      </c>
      <c r="G216" s="3">
        <v>5.0</v>
      </c>
      <c r="H216" s="3">
        <v>50.0</v>
      </c>
      <c r="I216" s="3">
        <v>250.0</v>
      </c>
      <c r="J216" s="2">
        <f t="shared" si="1"/>
        <v>2025</v>
      </c>
      <c r="K216" s="2">
        <f t="shared" si="2"/>
        <v>4</v>
      </c>
      <c r="L216" s="5" t="str">
        <f t="shared" si="3"/>
        <v>NO</v>
      </c>
    </row>
    <row r="217">
      <c r="A217" s="3">
        <v>216.0</v>
      </c>
      <c r="B217" s="4">
        <v>45987.0</v>
      </c>
      <c r="C217" s="3" t="s">
        <v>234</v>
      </c>
      <c r="D217" s="3" t="s">
        <v>17</v>
      </c>
      <c r="E217" s="3">
        <v>45.0</v>
      </c>
      <c r="F217" s="3" t="s">
        <v>11</v>
      </c>
      <c r="G217" s="3">
        <v>4.0</v>
      </c>
      <c r="H217" s="3">
        <v>30.0</v>
      </c>
      <c r="I217" s="3">
        <v>120.0</v>
      </c>
      <c r="J217" s="2">
        <f t="shared" si="1"/>
        <v>2025</v>
      </c>
      <c r="K217" s="2">
        <f t="shared" si="2"/>
        <v>11</v>
      </c>
      <c r="L217" s="5" t="str">
        <f t="shared" si="3"/>
        <v>NO</v>
      </c>
    </row>
    <row r="218">
      <c r="A218" s="3">
        <v>217.0</v>
      </c>
      <c r="B218" s="4">
        <v>46009.0</v>
      </c>
      <c r="C218" s="3" t="s">
        <v>235</v>
      </c>
      <c r="D218" s="3" t="s">
        <v>10</v>
      </c>
      <c r="E218" s="3">
        <v>23.0</v>
      </c>
      <c r="F218" s="3" t="s">
        <v>11</v>
      </c>
      <c r="G218" s="3">
        <v>4.0</v>
      </c>
      <c r="H218" s="3">
        <v>170.0</v>
      </c>
      <c r="I218" s="3">
        <v>680.0</v>
      </c>
      <c r="J218" s="2">
        <f t="shared" si="1"/>
        <v>2025</v>
      </c>
      <c r="K218" s="2">
        <f t="shared" si="2"/>
        <v>12</v>
      </c>
      <c r="L218" s="5" t="str">
        <f t="shared" si="3"/>
        <v>NO</v>
      </c>
    </row>
    <row r="219">
      <c r="A219" s="3">
        <v>218.0</v>
      </c>
      <c r="B219" s="4">
        <v>45822.0</v>
      </c>
      <c r="C219" s="3" t="s">
        <v>236</v>
      </c>
      <c r="D219" s="3" t="s">
        <v>10</v>
      </c>
      <c r="E219" s="3">
        <v>35.0</v>
      </c>
      <c r="F219" s="3" t="s">
        <v>15</v>
      </c>
      <c r="G219" s="3">
        <v>1.0</v>
      </c>
      <c r="H219" s="3">
        <v>115.0</v>
      </c>
      <c r="I219" s="3">
        <v>115.0</v>
      </c>
      <c r="J219" s="2">
        <f t="shared" si="1"/>
        <v>2025</v>
      </c>
      <c r="K219" s="2">
        <f t="shared" si="2"/>
        <v>6</v>
      </c>
      <c r="L219" s="5" t="str">
        <f t="shared" si="3"/>
        <v>NO</v>
      </c>
    </row>
    <row r="220">
      <c r="A220" s="3">
        <v>219.0</v>
      </c>
      <c r="B220" s="4">
        <v>45977.0</v>
      </c>
      <c r="C220" s="3" t="s">
        <v>237</v>
      </c>
      <c r="D220" s="3" t="s">
        <v>17</v>
      </c>
      <c r="E220" s="3">
        <v>56.0</v>
      </c>
      <c r="F220" s="3" t="s">
        <v>15</v>
      </c>
      <c r="G220" s="3">
        <v>3.0</v>
      </c>
      <c r="H220" s="3">
        <v>375.0</v>
      </c>
      <c r="I220" s="3">
        <v>1125.0</v>
      </c>
      <c r="J220" s="2">
        <f t="shared" si="1"/>
        <v>2025</v>
      </c>
      <c r="K220" s="2">
        <f t="shared" si="2"/>
        <v>11</v>
      </c>
      <c r="L220" s="5" t="str">
        <f t="shared" si="3"/>
        <v>YES</v>
      </c>
    </row>
    <row r="221">
      <c r="A221" s="3">
        <v>220.0</v>
      </c>
      <c r="B221" s="4">
        <v>45929.0</v>
      </c>
      <c r="C221" s="3" t="s">
        <v>238</v>
      </c>
      <c r="D221" s="3" t="s">
        <v>17</v>
      </c>
      <c r="E221" s="3">
        <v>24.0</v>
      </c>
      <c r="F221" s="3" t="s">
        <v>22</v>
      </c>
      <c r="G221" s="3">
        <v>5.0</v>
      </c>
      <c r="H221" s="3">
        <v>1260.0</v>
      </c>
      <c r="I221" s="3">
        <v>6300.0</v>
      </c>
      <c r="J221" s="2">
        <f t="shared" si="1"/>
        <v>2025</v>
      </c>
      <c r="K221" s="2">
        <f t="shared" si="2"/>
        <v>9</v>
      </c>
      <c r="L221" s="5" t="str">
        <f t="shared" si="3"/>
        <v>YES</v>
      </c>
    </row>
    <row r="222">
      <c r="A222" s="3">
        <v>221.0</v>
      </c>
      <c r="B222" s="4">
        <v>46017.0</v>
      </c>
      <c r="C222" s="3" t="s">
        <v>239</v>
      </c>
      <c r="D222" s="3" t="s">
        <v>10</v>
      </c>
      <c r="E222" s="3">
        <v>45.0</v>
      </c>
      <c r="F222" s="3" t="s">
        <v>11</v>
      </c>
      <c r="G222" s="3">
        <v>5.0</v>
      </c>
      <c r="H222" s="3">
        <v>220.0</v>
      </c>
      <c r="I222" s="3">
        <v>1100.0</v>
      </c>
      <c r="J222" s="2">
        <f t="shared" si="1"/>
        <v>2025</v>
      </c>
      <c r="K222" s="2">
        <f t="shared" si="2"/>
        <v>12</v>
      </c>
      <c r="L222" s="5" t="str">
        <f t="shared" si="3"/>
        <v>YES</v>
      </c>
    </row>
    <row r="223">
      <c r="A223" s="3">
        <v>222.0</v>
      </c>
      <c r="B223" s="4">
        <v>45889.0</v>
      </c>
      <c r="C223" s="3" t="s">
        <v>240</v>
      </c>
      <c r="D223" s="3" t="s">
        <v>17</v>
      </c>
      <c r="E223" s="3">
        <v>43.0</v>
      </c>
      <c r="F223" s="3" t="s">
        <v>20</v>
      </c>
      <c r="G223" s="3">
        <v>3.0</v>
      </c>
      <c r="H223" s="3">
        <v>150.0</v>
      </c>
      <c r="I223" s="3">
        <v>450.0</v>
      </c>
      <c r="J223" s="2">
        <f t="shared" si="1"/>
        <v>2025</v>
      </c>
      <c r="K223" s="2">
        <f t="shared" si="2"/>
        <v>8</v>
      </c>
      <c r="L223" s="5" t="str">
        <f t="shared" si="3"/>
        <v>NO</v>
      </c>
    </row>
    <row r="224">
      <c r="A224" s="3">
        <v>223.0</v>
      </c>
      <c r="B224" s="4">
        <v>45870.0</v>
      </c>
      <c r="C224" s="3" t="s">
        <v>241</v>
      </c>
      <c r="D224" s="3" t="s">
        <v>17</v>
      </c>
      <c r="E224" s="3">
        <v>60.0</v>
      </c>
      <c r="F224" s="3" t="s">
        <v>11</v>
      </c>
      <c r="G224" s="3">
        <v>4.0</v>
      </c>
      <c r="H224" s="3">
        <v>115.0</v>
      </c>
      <c r="I224" s="3">
        <v>460.0</v>
      </c>
      <c r="J224" s="2">
        <f t="shared" si="1"/>
        <v>2025</v>
      </c>
      <c r="K224" s="2">
        <f t="shared" si="2"/>
        <v>8</v>
      </c>
      <c r="L224" s="5" t="str">
        <f t="shared" si="3"/>
        <v>NO</v>
      </c>
    </row>
    <row r="225">
      <c r="A225" s="3">
        <v>224.0</v>
      </c>
      <c r="B225" s="4">
        <v>45788.0</v>
      </c>
      <c r="C225" s="3" t="s">
        <v>242</v>
      </c>
      <c r="D225" s="3" t="s">
        <v>10</v>
      </c>
      <c r="E225" s="3">
        <v>23.0</v>
      </c>
      <c r="F225" s="3" t="s">
        <v>22</v>
      </c>
      <c r="G225" s="3">
        <v>4.0</v>
      </c>
      <c r="H225" s="3">
        <v>490.0</v>
      </c>
      <c r="I225" s="3">
        <v>1960.0</v>
      </c>
      <c r="J225" s="2">
        <f t="shared" si="1"/>
        <v>2025</v>
      </c>
      <c r="K225" s="2">
        <f t="shared" si="2"/>
        <v>5</v>
      </c>
      <c r="L225" s="5" t="str">
        <f t="shared" si="3"/>
        <v>YES</v>
      </c>
    </row>
    <row r="226">
      <c r="A226" s="3">
        <v>225.0</v>
      </c>
      <c r="B226" s="4">
        <v>45701.0</v>
      </c>
      <c r="C226" s="3" t="s">
        <v>243</v>
      </c>
      <c r="D226" s="3" t="s">
        <v>17</v>
      </c>
      <c r="E226" s="3">
        <v>26.0</v>
      </c>
      <c r="F226" s="3" t="s">
        <v>11</v>
      </c>
      <c r="G226" s="3">
        <v>1.0</v>
      </c>
      <c r="H226" s="3">
        <v>150.0</v>
      </c>
      <c r="I226" s="3">
        <v>150.0</v>
      </c>
      <c r="J226" s="2">
        <f t="shared" si="1"/>
        <v>2025</v>
      </c>
      <c r="K226" s="2">
        <f t="shared" si="2"/>
        <v>2</v>
      </c>
      <c r="L226" s="5" t="str">
        <f t="shared" si="3"/>
        <v>NO</v>
      </c>
    </row>
    <row r="227">
      <c r="A227" s="3">
        <v>226.0</v>
      </c>
      <c r="B227" s="4">
        <v>45942.0</v>
      </c>
      <c r="C227" s="3" t="s">
        <v>244</v>
      </c>
      <c r="D227" s="3" t="s">
        <v>17</v>
      </c>
      <c r="E227" s="3">
        <v>60.0</v>
      </c>
      <c r="F227" s="3" t="s">
        <v>11</v>
      </c>
      <c r="G227" s="3">
        <v>5.0</v>
      </c>
      <c r="H227" s="3">
        <v>200.0</v>
      </c>
      <c r="I227" s="3">
        <v>1000.0</v>
      </c>
      <c r="J227" s="2">
        <f t="shared" si="1"/>
        <v>2025</v>
      </c>
      <c r="K227" s="2">
        <f t="shared" si="2"/>
        <v>10</v>
      </c>
      <c r="L227" s="5" t="str">
        <f t="shared" si="3"/>
        <v>NO</v>
      </c>
    </row>
    <row r="228">
      <c r="A228" s="3">
        <v>227.0</v>
      </c>
      <c r="B228" s="4">
        <v>45720.0</v>
      </c>
      <c r="C228" s="3" t="s">
        <v>245</v>
      </c>
      <c r="D228" s="3" t="s">
        <v>10</v>
      </c>
      <c r="E228" s="3">
        <v>36.0</v>
      </c>
      <c r="F228" s="3" t="s">
        <v>54</v>
      </c>
      <c r="G228" s="3">
        <v>4.0</v>
      </c>
      <c r="H228" s="3">
        <v>60.0</v>
      </c>
      <c r="I228" s="3">
        <v>240.0</v>
      </c>
      <c r="J228" s="2">
        <f t="shared" si="1"/>
        <v>2025</v>
      </c>
      <c r="K228" s="2">
        <f t="shared" si="2"/>
        <v>3</v>
      </c>
      <c r="L228" s="5" t="str">
        <f t="shared" si="3"/>
        <v>NO</v>
      </c>
    </row>
    <row r="229">
      <c r="A229" s="3">
        <v>228.0</v>
      </c>
      <c r="B229" s="4">
        <v>45965.0</v>
      </c>
      <c r="C229" s="3" t="s">
        <v>246</v>
      </c>
      <c r="D229" s="3" t="s">
        <v>10</v>
      </c>
      <c r="E229" s="3">
        <v>27.0</v>
      </c>
      <c r="F229" s="3" t="s">
        <v>22</v>
      </c>
      <c r="G229" s="3">
        <v>1.0</v>
      </c>
      <c r="H229" s="3">
        <v>1000.0</v>
      </c>
      <c r="I229" s="3">
        <v>1000.0</v>
      </c>
      <c r="J229" s="2">
        <f t="shared" si="1"/>
        <v>2025</v>
      </c>
      <c r="K229" s="2">
        <f t="shared" si="2"/>
        <v>11</v>
      </c>
      <c r="L229" s="5" t="str">
        <f t="shared" si="3"/>
        <v>NO</v>
      </c>
    </row>
    <row r="230">
      <c r="A230" s="3">
        <v>229.0</v>
      </c>
      <c r="B230" s="4">
        <v>45994.0</v>
      </c>
      <c r="C230" s="3" t="s">
        <v>247</v>
      </c>
      <c r="D230" s="3" t="s">
        <v>17</v>
      </c>
      <c r="E230" s="3">
        <v>53.0</v>
      </c>
      <c r="F230" s="3" t="s">
        <v>54</v>
      </c>
      <c r="G230" s="3">
        <v>1.0</v>
      </c>
      <c r="H230" s="3">
        <v>40.0</v>
      </c>
      <c r="I230" s="3">
        <v>40.0</v>
      </c>
      <c r="J230" s="2">
        <f t="shared" si="1"/>
        <v>2025</v>
      </c>
      <c r="K230" s="2">
        <f t="shared" si="2"/>
        <v>12</v>
      </c>
      <c r="L230" s="5" t="str">
        <f t="shared" si="3"/>
        <v>NO</v>
      </c>
    </row>
    <row r="231">
      <c r="A231" s="3">
        <v>230.0</v>
      </c>
      <c r="B231" s="4">
        <v>45846.0</v>
      </c>
      <c r="C231" s="3" t="s">
        <v>248</v>
      </c>
      <c r="D231" s="3" t="s">
        <v>10</v>
      </c>
      <c r="E231" s="3">
        <v>45.0</v>
      </c>
      <c r="F231" s="3" t="s">
        <v>11</v>
      </c>
      <c r="G231" s="3">
        <v>5.0</v>
      </c>
      <c r="H231" s="3">
        <v>100.0</v>
      </c>
      <c r="I231" s="3">
        <v>500.0</v>
      </c>
      <c r="J231" s="2">
        <f t="shared" si="1"/>
        <v>2025</v>
      </c>
      <c r="K231" s="2">
        <f t="shared" si="2"/>
        <v>7</v>
      </c>
      <c r="L231" s="5" t="str">
        <f t="shared" si="3"/>
        <v>NO</v>
      </c>
    </row>
    <row r="232">
      <c r="A232" s="3">
        <v>231.0</v>
      </c>
      <c r="B232" s="4">
        <v>45945.0</v>
      </c>
      <c r="C232" s="3" t="s">
        <v>249</v>
      </c>
      <c r="D232" s="3" t="s">
        <v>10</v>
      </c>
      <c r="E232" s="3">
        <v>56.0</v>
      </c>
      <c r="F232" s="3" t="s">
        <v>15</v>
      </c>
      <c r="G232" s="3">
        <v>5.0</v>
      </c>
      <c r="H232" s="3">
        <v>415.0</v>
      </c>
      <c r="I232" s="3">
        <v>2075.0</v>
      </c>
      <c r="J232" s="2">
        <f t="shared" si="1"/>
        <v>2025</v>
      </c>
      <c r="K232" s="2">
        <f t="shared" si="2"/>
        <v>10</v>
      </c>
      <c r="L232" s="5" t="str">
        <f t="shared" si="3"/>
        <v>YES</v>
      </c>
    </row>
    <row r="233">
      <c r="A233" s="3">
        <v>232.0</v>
      </c>
      <c r="B233" s="4">
        <v>45994.0</v>
      </c>
      <c r="C233" s="3" t="s">
        <v>250</v>
      </c>
      <c r="D233" s="3" t="s">
        <v>17</v>
      </c>
      <c r="E233" s="3">
        <v>37.0</v>
      </c>
      <c r="F233" s="3" t="s">
        <v>22</v>
      </c>
      <c r="G233" s="3">
        <v>2.0</v>
      </c>
      <c r="H233" s="3">
        <v>170.0</v>
      </c>
      <c r="I233" s="3">
        <v>340.0</v>
      </c>
      <c r="J233" s="2">
        <f t="shared" si="1"/>
        <v>2025</v>
      </c>
      <c r="K233" s="2">
        <f t="shared" si="2"/>
        <v>12</v>
      </c>
      <c r="L233" s="5" t="str">
        <f t="shared" si="3"/>
        <v>NO</v>
      </c>
    </row>
    <row r="234">
      <c r="A234" s="3">
        <v>233.0</v>
      </c>
      <c r="B234" s="4">
        <v>45831.0</v>
      </c>
      <c r="C234" s="3" t="s">
        <v>251</v>
      </c>
      <c r="D234" s="3" t="s">
        <v>10</v>
      </c>
      <c r="E234" s="3">
        <v>54.0</v>
      </c>
      <c r="F234" s="3" t="s">
        <v>22</v>
      </c>
      <c r="G234" s="3">
        <v>2.0</v>
      </c>
      <c r="H234" s="3">
        <v>115.0</v>
      </c>
      <c r="I234" s="3">
        <v>230.0</v>
      </c>
      <c r="J234" s="2">
        <f t="shared" si="1"/>
        <v>2025</v>
      </c>
      <c r="K234" s="2">
        <f t="shared" si="2"/>
        <v>6</v>
      </c>
      <c r="L234" s="5" t="str">
        <f t="shared" si="3"/>
        <v>NO</v>
      </c>
    </row>
    <row r="235">
      <c r="A235" s="3">
        <v>234.0</v>
      </c>
      <c r="B235" s="4">
        <v>45994.0</v>
      </c>
      <c r="C235" s="3" t="s">
        <v>252</v>
      </c>
      <c r="D235" s="3" t="s">
        <v>10</v>
      </c>
      <c r="E235" s="3">
        <v>23.0</v>
      </c>
      <c r="F235" s="3" t="s">
        <v>54</v>
      </c>
      <c r="G235" s="3">
        <v>2.0</v>
      </c>
      <c r="H235" s="3">
        <v>15.0</v>
      </c>
      <c r="I235" s="3">
        <v>30.0</v>
      </c>
      <c r="J235" s="2">
        <f t="shared" si="1"/>
        <v>2025</v>
      </c>
      <c r="K235" s="2">
        <f t="shared" si="2"/>
        <v>12</v>
      </c>
      <c r="L235" s="5" t="str">
        <f t="shared" si="3"/>
        <v>NO</v>
      </c>
    </row>
    <row r="236">
      <c r="A236" s="3">
        <v>235.0</v>
      </c>
      <c r="B236" s="4">
        <v>45929.0</v>
      </c>
      <c r="C236" s="3" t="s">
        <v>253</v>
      </c>
      <c r="D236" s="3" t="s">
        <v>17</v>
      </c>
      <c r="E236" s="3">
        <v>39.0</v>
      </c>
      <c r="F236" s="3" t="s">
        <v>20</v>
      </c>
      <c r="G236" s="3">
        <v>4.0</v>
      </c>
      <c r="H236" s="3">
        <v>140.0</v>
      </c>
      <c r="I236" s="3">
        <v>560.0</v>
      </c>
      <c r="J236" s="2">
        <f t="shared" si="1"/>
        <v>2025</v>
      </c>
      <c r="K236" s="2">
        <f t="shared" si="2"/>
        <v>9</v>
      </c>
      <c r="L236" s="5" t="str">
        <f t="shared" si="3"/>
        <v>NO</v>
      </c>
    </row>
    <row r="237">
      <c r="A237" s="3">
        <v>236.0</v>
      </c>
      <c r="B237" s="4">
        <v>45738.0</v>
      </c>
      <c r="C237" s="3" t="s">
        <v>254</v>
      </c>
      <c r="D237" s="3" t="s">
        <v>10</v>
      </c>
      <c r="E237" s="3">
        <v>21.0</v>
      </c>
      <c r="F237" s="3" t="s">
        <v>22</v>
      </c>
      <c r="G237" s="3">
        <v>3.0</v>
      </c>
      <c r="H237" s="3">
        <v>895.0</v>
      </c>
      <c r="I237" s="3">
        <v>2685.0</v>
      </c>
      <c r="J237" s="2">
        <f t="shared" si="1"/>
        <v>2025</v>
      </c>
      <c r="K237" s="2">
        <f t="shared" si="2"/>
        <v>3</v>
      </c>
      <c r="L237" s="5" t="str">
        <f t="shared" si="3"/>
        <v>YES</v>
      </c>
    </row>
    <row r="238">
      <c r="A238" s="3">
        <v>237.0</v>
      </c>
      <c r="B238" s="4">
        <v>45737.0</v>
      </c>
      <c r="C238" s="3" t="s">
        <v>255</v>
      </c>
      <c r="D238" s="3" t="s">
        <v>17</v>
      </c>
      <c r="E238" s="3">
        <v>46.0</v>
      </c>
      <c r="F238" s="3" t="s">
        <v>20</v>
      </c>
      <c r="G238" s="3">
        <v>1.0</v>
      </c>
      <c r="H238" s="3">
        <v>35.0</v>
      </c>
      <c r="I238" s="3">
        <v>35.0</v>
      </c>
      <c r="J238" s="2">
        <f t="shared" si="1"/>
        <v>2025</v>
      </c>
      <c r="K238" s="2">
        <f t="shared" si="2"/>
        <v>3</v>
      </c>
      <c r="L238" s="5" t="str">
        <f t="shared" si="3"/>
        <v>NO</v>
      </c>
    </row>
    <row r="239">
      <c r="A239" s="3">
        <v>238.0</v>
      </c>
      <c r="B239" s="4">
        <v>45996.0</v>
      </c>
      <c r="C239" s="3" t="s">
        <v>256</v>
      </c>
      <c r="D239" s="3" t="s">
        <v>17</v>
      </c>
      <c r="E239" s="3">
        <v>44.0</v>
      </c>
      <c r="F239" s="3" t="s">
        <v>54</v>
      </c>
      <c r="G239" s="3">
        <v>5.0</v>
      </c>
      <c r="H239" s="3">
        <v>80.0</v>
      </c>
      <c r="I239" s="3">
        <v>400.0</v>
      </c>
      <c r="J239" s="2">
        <f t="shared" si="1"/>
        <v>2025</v>
      </c>
      <c r="K239" s="2">
        <f t="shared" si="2"/>
        <v>12</v>
      </c>
      <c r="L239" s="5" t="str">
        <f t="shared" si="3"/>
        <v>NO</v>
      </c>
    </row>
    <row r="240">
      <c r="A240" s="3">
        <v>239.0</v>
      </c>
      <c r="B240" s="4">
        <v>45797.0</v>
      </c>
      <c r="C240" s="3" t="s">
        <v>257</v>
      </c>
      <c r="D240" s="3" t="s">
        <v>17</v>
      </c>
      <c r="E240" s="3">
        <v>45.0</v>
      </c>
      <c r="F240" s="3" t="s">
        <v>20</v>
      </c>
      <c r="G240" s="3">
        <v>1.0</v>
      </c>
      <c r="H240" s="3">
        <v>180.0</v>
      </c>
      <c r="I240" s="3">
        <v>180.0</v>
      </c>
      <c r="J240" s="2">
        <f t="shared" si="1"/>
        <v>2025</v>
      </c>
      <c r="K240" s="2">
        <f t="shared" si="2"/>
        <v>5</v>
      </c>
      <c r="L240" s="5" t="str">
        <f t="shared" si="3"/>
        <v>NO</v>
      </c>
    </row>
    <row r="241">
      <c r="A241" s="3">
        <v>240.0</v>
      </c>
      <c r="B241" s="4">
        <v>45714.0</v>
      </c>
      <c r="C241" s="3" t="s">
        <v>258</v>
      </c>
      <c r="D241" s="3" t="s">
        <v>17</v>
      </c>
      <c r="E241" s="3">
        <v>20.0</v>
      </c>
      <c r="F241" s="3" t="s">
        <v>22</v>
      </c>
      <c r="G241" s="3">
        <v>5.0</v>
      </c>
      <c r="H241" s="3">
        <v>1345.0</v>
      </c>
      <c r="I241" s="3">
        <v>6725.0</v>
      </c>
      <c r="J241" s="2">
        <f t="shared" si="1"/>
        <v>2025</v>
      </c>
      <c r="K241" s="2">
        <f t="shared" si="2"/>
        <v>2</v>
      </c>
      <c r="L241" s="5" t="str">
        <f t="shared" si="3"/>
        <v>YES</v>
      </c>
    </row>
    <row r="242">
      <c r="A242" s="3">
        <v>241.0</v>
      </c>
      <c r="B242" s="4">
        <v>45770.0</v>
      </c>
      <c r="C242" s="3" t="s">
        <v>259</v>
      </c>
      <c r="D242" s="3" t="s">
        <v>10</v>
      </c>
      <c r="E242" s="3">
        <v>31.0</v>
      </c>
      <c r="F242" s="3" t="s">
        <v>54</v>
      </c>
      <c r="G242" s="3">
        <v>1.0</v>
      </c>
      <c r="H242" s="3">
        <v>100.0</v>
      </c>
      <c r="I242" s="3">
        <v>100.0</v>
      </c>
      <c r="J242" s="2">
        <f t="shared" si="1"/>
        <v>2025</v>
      </c>
      <c r="K242" s="2">
        <f t="shared" si="2"/>
        <v>4</v>
      </c>
      <c r="L242" s="5" t="str">
        <f t="shared" si="3"/>
        <v>NO</v>
      </c>
    </row>
    <row r="243">
      <c r="A243" s="3">
        <v>242.0</v>
      </c>
      <c r="B243" s="4">
        <v>45812.0</v>
      </c>
      <c r="C243" s="3" t="s">
        <v>260</v>
      </c>
      <c r="D243" s="3" t="s">
        <v>17</v>
      </c>
      <c r="E243" s="3">
        <v>38.0</v>
      </c>
      <c r="F243" s="3" t="s">
        <v>20</v>
      </c>
      <c r="G243" s="3">
        <v>3.0</v>
      </c>
      <c r="H243" s="3">
        <v>60.0</v>
      </c>
      <c r="I243" s="3">
        <v>180.0</v>
      </c>
      <c r="J243" s="2">
        <f t="shared" si="1"/>
        <v>2025</v>
      </c>
      <c r="K243" s="2">
        <f t="shared" si="2"/>
        <v>6</v>
      </c>
      <c r="L243" s="5" t="str">
        <f t="shared" si="3"/>
        <v>NO</v>
      </c>
    </row>
    <row r="244">
      <c r="A244" s="3">
        <v>243.0</v>
      </c>
      <c r="B244" s="4">
        <v>45719.0</v>
      </c>
      <c r="C244" s="3" t="s">
        <v>261</v>
      </c>
      <c r="D244" s="3" t="s">
        <v>10</v>
      </c>
      <c r="E244" s="3">
        <v>26.0</v>
      </c>
      <c r="F244" s="3" t="s">
        <v>11</v>
      </c>
      <c r="G244" s="3">
        <v>4.0</v>
      </c>
      <c r="H244" s="3">
        <v>170.0</v>
      </c>
      <c r="I244" s="3">
        <v>680.0</v>
      </c>
      <c r="J244" s="2">
        <f t="shared" si="1"/>
        <v>2025</v>
      </c>
      <c r="K244" s="2">
        <f t="shared" si="2"/>
        <v>3</v>
      </c>
      <c r="L244" s="5" t="str">
        <f t="shared" si="3"/>
        <v>NO</v>
      </c>
    </row>
    <row r="245">
      <c r="A245" s="3">
        <v>244.0</v>
      </c>
      <c r="B245" s="4">
        <v>45852.0</v>
      </c>
      <c r="C245" s="3" t="s">
        <v>262</v>
      </c>
      <c r="D245" s="3" t="s">
        <v>17</v>
      </c>
      <c r="E245" s="3">
        <v>22.0</v>
      </c>
      <c r="F245" s="3" t="s">
        <v>15</v>
      </c>
      <c r="G245" s="3">
        <v>2.0</v>
      </c>
      <c r="H245" s="3">
        <v>475.0</v>
      </c>
      <c r="I245" s="3">
        <v>950.0</v>
      </c>
      <c r="J245" s="2">
        <f t="shared" si="1"/>
        <v>2025</v>
      </c>
      <c r="K245" s="2">
        <f t="shared" si="2"/>
        <v>7</v>
      </c>
      <c r="L245" s="5" t="str">
        <f t="shared" si="3"/>
        <v>NO</v>
      </c>
    </row>
    <row r="246">
      <c r="A246" s="3">
        <v>245.0</v>
      </c>
      <c r="B246" s="4">
        <v>45861.0</v>
      </c>
      <c r="C246" s="3" t="s">
        <v>263</v>
      </c>
      <c r="D246" s="3" t="s">
        <v>17</v>
      </c>
      <c r="E246" s="3">
        <v>22.0</v>
      </c>
      <c r="F246" s="3" t="s">
        <v>11</v>
      </c>
      <c r="G246" s="3">
        <v>1.0</v>
      </c>
      <c r="H246" s="3">
        <v>150.0</v>
      </c>
      <c r="I246" s="3">
        <v>150.0</v>
      </c>
      <c r="J246" s="2">
        <f t="shared" si="1"/>
        <v>2025</v>
      </c>
      <c r="K246" s="2">
        <f t="shared" si="2"/>
        <v>7</v>
      </c>
      <c r="L246" s="5" t="str">
        <f t="shared" si="3"/>
        <v>NO</v>
      </c>
    </row>
    <row r="247">
      <c r="A247" s="3">
        <v>246.0</v>
      </c>
      <c r="B247" s="4">
        <v>45818.0</v>
      </c>
      <c r="C247" s="3" t="s">
        <v>264</v>
      </c>
      <c r="D247" s="3" t="s">
        <v>17</v>
      </c>
      <c r="E247" s="3">
        <v>58.0</v>
      </c>
      <c r="F247" s="3" t="s">
        <v>15</v>
      </c>
      <c r="G247" s="3">
        <v>5.0</v>
      </c>
      <c r="H247" s="3">
        <v>295.0</v>
      </c>
      <c r="I247" s="3">
        <v>1475.0</v>
      </c>
      <c r="J247" s="2">
        <f t="shared" si="1"/>
        <v>2025</v>
      </c>
      <c r="K247" s="2">
        <f t="shared" si="2"/>
        <v>6</v>
      </c>
      <c r="L247" s="5" t="str">
        <f t="shared" si="3"/>
        <v>YES</v>
      </c>
    </row>
    <row r="248">
      <c r="A248" s="3">
        <v>247.0</v>
      </c>
      <c r="B248" s="4">
        <v>45871.0</v>
      </c>
      <c r="C248" s="3" t="s">
        <v>265</v>
      </c>
      <c r="D248" s="3" t="s">
        <v>10</v>
      </c>
      <c r="E248" s="3">
        <v>38.0</v>
      </c>
      <c r="F248" s="3" t="s">
        <v>22</v>
      </c>
      <c r="G248" s="3">
        <v>4.0</v>
      </c>
      <c r="H248" s="3">
        <v>390.0</v>
      </c>
      <c r="I248" s="3">
        <v>1560.0</v>
      </c>
      <c r="J248" s="2">
        <f t="shared" si="1"/>
        <v>2025</v>
      </c>
      <c r="K248" s="2">
        <f t="shared" si="2"/>
        <v>8</v>
      </c>
      <c r="L248" s="5" t="str">
        <f t="shared" si="3"/>
        <v>YES</v>
      </c>
    </row>
    <row r="249">
      <c r="A249" s="3">
        <v>248.0</v>
      </c>
      <c r="B249" s="4">
        <v>45745.0</v>
      </c>
      <c r="C249" s="3" t="s">
        <v>266</v>
      </c>
      <c r="D249" s="3" t="s">
        <v>10</v>
      </c>
      <c r="E249" s="3">
        <v>45.0</v>
      </c>
      <c r="F249" s="3" t="s">
        <v>15</v>
      </c>
      <c r="G249" s="3">
        <v>3.0</v>
      </c>
      <c r="H249" s="3">
        <v>315.0</v>
      </c>
      <c r="I249" s="3">
        <v>945.0</v>
      </c>
      <c r="J249" s="2">
        <f t="shared" si="1"/>
        <v>2025</v>
      </c>
      <c r="K249" s="2">
        <f t="shared" si="2"/>
        <v>3</v>
      </c>
      <c r="L249" s="5" t="str">
        <f t="shared" si="3"/>
        <v>NO</v>
      </c>
    </row>
    <row r="250">
      <c r="A250" s="3">
        <v>249.0</v>
      </c>
      <c r="B250" s="4">
        <v>45712.0</v>
      </c>
      <c r="C250" s="3" t="s">
        <v>267</v>
      </c>
      <c r="D250" s="3" t="s">
        <v>17</v>
      </c>
      <c r="E250" s="3">
        <v>51.0</v>
      </c>
      <c r="F250" s="3" t="s">
        <v>20</v>
      </c>
      <c r="G250" s="3">
        <v>5.0</v>
      </c>
      <c r="H250" s="3">
        <v>155.0</v>
      </c>
      <c r="I250" s="3">
        <v>775.0</v>
      </c>
      <c r="J250" s="2">
        <f t="shared" si="1"/>
        <v>2025</v>
      </c>
      <c r="K250" s="2">
        <f t="shared" si="2"/>
        <v>2</v>
      </c>
      <c r="L250" s="5" t="str">
        <f t="shared" si="3"/>
        <v>NO</v>
      </c>
    </row>
    <row r="251">
      <c r="A251" s="3">
        <v>250.0</v>
      </c>
      <c r="B251" s="4">
        <v>45698.0</v>
      </c>
      <c r="C251" s="3" t="s">
        <v>268</v>
      </c>
      <c r="D251" s="3" t="s">
        <v>10</v>
      </c>
      <c r="E251" s="3">
        <v>39.0</v>
      </c>
      <c r="F251" s="3" t="s">
        <v>54</v>
      </c>
      <c r="G251" s="3">
        <v>3.0</v>
      </c>
      <c r="H251" s="3">
        <v>50.0</v>
      </c>
      <c r="I251" s="3">
        <v>150.0</v>
      </c>
      <c r="J251" s="2">
        <f t="shared" si="1"/>
        <v>2025</v>
      </c>
      <c r="K251" s="2">
        <f t="shared" si="2"/>
        <v>2</v>
      </c>
      <c r="L251" s="5" t="str">
        <f t="shared" si="3"/>
        <v>NO</v>
      </c>
    </row>
    <row r="252">
      <c r="A252" s="3">
        <v>251.0</v>
      </c>
      <c r="B252" s="4">
        <v>45744.0</v>
      </c>
      <c r="C252" s="3" t="s">
        <v>269</v>
      </c>
      <c r="D252" s="3" t="s">
        <v>10</v>
      </c>
      <c r="E252" s="3">
        <v>40.0</v>
      </c>
      <c r="F252" s="3" t="s">
        <v>11</v>
      </c>
      <c r="G252" s="3">
        <v>1.0</v>
      </c>
      <c r="H252" s="3">
        <v>175.0</v>
      </c>
      <c r="I252" s="3">
        <v>175.0</v>
      </c>
      <c r="J252" s="2">
        <f t="shared" si="1"/>
        <v>2025</v>
      </c>
      <c r="K252" s="2">
        <f t="shared" si="2"/>
        <v>3</v>
      </c>
      <c r="L252" s="5" t="str">
        <f t="shared" si="3"/>
        <v>NO</v>
      </c>
    </row>
    <row r="253">
      <c r="A253" s="3">
        <v>252.0</v>
      </c>
      <c r="B253" s="4">
        <v>45837.0</v>
      </c>
      <c r="C253" s="3" t="s">
        <v>270</v>
      </c>
      <c r="D253" s="3" t="s">
        <v>10</v>
      </c>
      <c r="E253" s="3">
        <v>34.0</v>
      </c>
      <c r="F253" s="3" t="s">
        <v>20</v>
      </c>
      <c r="G253" s="3">
        <v>1.0</v>
      </c>
      <c r="H253" s="3">
        <v>95.0</v>
      </c>
      <c r="I253" s="3">
        <v>95.0</v>
      </c>
      <c r="J253" s="2">
        <f t="shared" si="1"/>
        <v>2025</v>
      </c>
      <c r="K253" s="2">
        <f t="shared" si="2"/>
        <v>6</v>
      </c>
      <c r="L253" s="5" t="str">
        <f t="shared" si="3"/>
        <v>NO</v>
      </c>
    </row>
    <row r="254">
      <c r="A254" s="3">
        <v>253.0</v>
      </c>
      <c r="B254" s="4">
        <v>45759.0</v>
      </c>
      <c r="C254" s="3" t="s">
        <v>271</v>
      </c>
      <c r="D254" s="3" t="s">
        <v>10</v>
      </c>
      <c r="E254" s="3">
        <v>58.0</v>
      </c>
      <c r="F254" s="3" t="s">
        <v>20</v>
      </c>
      <c r="G254" s="3">
        <v>1.0</v>
      </c>
      <c r="H254" s="3">
        <v>65.0</v>
      </c>
      <c r="I254" s="3">
        <v>65.0</v>
      </c>
      <c r="J254" s="2">
        <f t="shared" si="1"/>
        <v>2025</v>
      </c>
      <c r="K254" s="2">
        <f t="shared" si="2"/>
        <v>4</v>
      </c>
      <c r="L254" s="5" t="str">
        <f t="shared" si="3"/>
        <v>NO</v>
      </c>
    </row>
    <row r="255">
      <c r="A255" s="3">
        <v>254.0</v>
      </c>
      <c r="B255" s="4">
        <v>45910.0</v>
      </c>
      <c r="C255" s="3" t="s">
        <v>272</v>
      </c>
      <c r="D255" s="3" t="s">
        <v>17</v>
      </c>
      <c r="E255" s="3">
        <v>54.0</v>
      </c>
      <c r="F255" s="3" t="s">
        <v>54</v>
      </c>
      <c r="G255" s="3">
        <v>5.0</v>
      </c>
      <c r="H255" s="3">
        <v>95.0</v>
      </c>
      <c r="I255" s="3">
        <v>475.0</v>
      </c>
      <c r="J255" s="2">
        <f t="shared" si="1"/>
        <v>2025</v>
      </c>
      <c r="K255" s="2">
        <f t="shared" si="2"/>
        <v>9</v>
      </c>
      <c r="L255" s="5" t="str">
        <f t="shared" si="3"/>
        <v>NO</v>
      </c>
    </row>
    <row r="256">
      <c r="A256" s="3">
        <v>255.0</v>
      </c>
      <c r="B256" s="4">
        <v>45987.0</v>
      </c>
      <c r="C256" s="3" t="s">
        <v>273</v>
      </c>
      <c r="D256" s="3" t="s">
        <v>10</v>
      </c>
      <c r="E256" s="3">
        <v>46.0</v>
      </c>
      <c r="F256" s="3" t="s">
        <v>15</v>
      </c>
      <c r="G256" s="3">
        <v>3.0</v>
      </c>
      <c r="H256" s="3">
        <v>230.0</v>
      </c>
      <c r="I256" s="3">
        <v>690.0</v>
      </c>
      <c r="J256" s="2">
        <f t="shared" si="1"/>
        <v>2025</v>
      </c>
      <c r="K256" s="2">
        <f t="shared" si="2"/>
        <v>11</v>
      </c>
      <c r="L256" s="5" t="str">
        <f t="shared" si="3"/>
        <v>NO</v>
      </c>
    </row>
    <row r="257">
      <c r="A257" s="3">
        <v>256.0</v>
      </c>
      <c r="B257" s="4">
        <v>45692.0</v>
      </c>
      <c r="C257" s="3" t="s">
        <v>274</v>
      </c>
      <c r="D257" s="3" t="s">
        <v>17</v>
      </c>
      <c r="E257" s="3">
        <v>55.0</v>
      </c>
      <c r="F257" s="3" t="s">
        <v>54</v>
      </c>
      <c r="G257" s="3">
        <v>3.0</v>
      </c>
      <c r="H257" s="3">
        <v>75.0</v>
      </c>
      <c r="I257" s="3">
        <v>225.0</v>
      </c>
      <c r="J257" s="2">
        <f t="shared" si="1"/>
        <v>2025</v>
      </c>
      <c r="K257" s="2">
        <f t="shared" si="2"/>
        <v>2</v>
      </c>
      <c r="L257" s="5" t="str">
        <f t="shared" si="3"/>
        <v>NO</v>
      </c>
    </row>
    <row r="258">
      <c r="A258" s="3">
        <v>257.0</v>
      </c>
      <c r="B258" s="4">
        <v>45686.0</v>
      </c>
      <c r="C258" s="3" t="s">
        <v>275</v>
      </c>
      <c r="D258" s="3" t="s">
        <v>17</v>
      </c>
      <c r="E258" s="3">
        <v>47.0</v>
      </c>
      <c r="F258" s="3" t="s">
        <v>22</v>
      </c>
      <c r="G258" s="3">
        <v>1.0</v>
      </c>
      <c r="H258" s="3">
        <v>1395.0</v>
      </c>
      <c r="I258" s="3">
        <v>1395.0</v>
      </c>
      <c r="J258" s="2">
        <f t="shared" si="1"/>
        <v>2025</v>
      </c>
      <c r="K258" s="2">
        <f t="shared" si="2"/>
        <v>1</v>
      </c>
      <c r="L258" s="5" t="str">
        <f t="shared" si="3"/>
        <v>YES</v>
      </c>
    </row>
    <row r="259">
      <c r="A259" s="3">
        <v>258.0</v>
      </c>
      <c r="B259" s="4">
        <v>45889.0</v>
      </c>
      <c r="C259" s="3" t="s">
        <v>276</v>
      </c>
      <c r="D259" s="3" t="s">
        <v>17</v>
      </c>
      <c r="E259" s="3">
        <v>22.0</v>
      </c>
      <c r="F259" s="3" t="s">
        <v>11</v>
      </c>
      <c r="G259" s="3">
        <v>3.0</v>
      </c>
      <c r="H259" s="3">
        <v>30.0</v>
      </c>
      <c r="I259" s="3">
        <v>90.0</v>
      </c>
      <c r="J259" s="2">
        <f t="shared" si="1"/>
        <v>2025</v>
      </c>
      <c r="K259" s="2">
        <f t="shared" si="2"/>
        <v>8</v>
      </c>
      <c r="L259" s="5" t="str">
        <f t="shared" si="3"/>
        <v>NO</v>
      </c>
    </row>
    <row r="260">
      <c r="A260" s="3">
        <v>259.0</v>
      </c>
      <c r="B260" s="4">
        <v>45988.0</v>
      </c>
      <c r="C260" s="3" t="s">
        <v>277</v>
      </c>
      <c r="D260" s="3" t="s">
        <v>17</v>
      </c>
      <c r="E260" s="3">
        <v>47.0</v>
      </c>
      <c r="F260" s="3" t="s">
        <v>11</v>
      </c>
      <c r="G260" s="3">
        <v>5.0</v>
      </c>
      <c r="H260" s="3">
        <v>210.0</v>
      </c>
      <c r="I260" s="3">
        <v>1050.0</v>
      </c>
      <c r="J260" s="2">
        <f t="shared" si="1"/>
        <v>2025</v>
      </c>
      <c r="K260" s="2">
        <f t="shared" si="2"/>
        <v>11</v>
      </c>
      <c r="L260" s="5" t="str">
        <f t="shared" si="3"/>
        <v>YES</v>
      </c>
    </row>
    <row r="261">
      <c r="A261" s="3">
        <v>260.0</v>
      </c>
      <c r="B261" s="4">
        <v>45955.0</v>
      </c>
      <c r="C261" s="3" t="s">
        <v>278</v>
      </c>
      <c r="D261" s="3" t="s">
        <v>17</v>
      </c>
      <c r="E261" s="3">
        <v>54.0</v>
      </c>
      <c r="F261" s="3" t="s">
        <v>15</v>
      </c>
      <c r="G261" s="3">
        <v>1.0</v>
      </c>
      <c r="H261" s="3">
        <v>495.0</v>
      </c>
      <c r="I261" s="3">
        <v>495.0</v>
      </c>
      <c r="J261" s="2">
        <f t="shared" si="1"/>
        <v>2025</v>
      </c>
      <c r="K261" s="2">
        <f t="shared" si="2"/>
        <v>10</v>
      </c>
      <c r="L261" s="5" t="str">
        <f t="shared" si="3"/>
        <v>NO</v>
      </c>
    </row>
    <row r="262">
      <c r="A262" s="3">
        <v>261.0</v>
      </c>
      <c r="B262" s="4">
        <v>45991.0</v>
      </c>
      <c r="C262" s="3" t="s">
        <v>279</v>
      </c>
      <c r="D262" s="3" t="s">
        <v>17</v>
      </c>
      <c r="E262" s="3">
        <v>50.0</v>
      </c>
      <c r="F262" s="3" t="s">
        <v>20</v>
      </c>
      <c r="G262" s="3">
        <v>5.0</v>
      </c>
      <c r="H262" s="3">
        <v>120.0</v>
      </c>
      <c r="I262" s="3">
        <v>600.0</v>
      </c>
      <c r="J262" s="2">
        <f t="shared" si="1"/>
        <v>2025</v>
      </c>
      <c r="K262" s="2">
        <f t="shared" si="2"/>
        <v>11</v>
      </c>
      <c r="L262" s="5" t="str">
        <f t="shared" si="3"/>
        <v>NO</v>
      </c>
    </row>
    <row r="263">
      <c r="A263" s="3">
        <v>262.0</v>
      </c>
      <c r="B263" s="4">
        <v>45735.0</v>
      </c>
      <c r="C263" s="3" t="s">
        <v>280</v>
      </c>
      <c r="D263" s="3" t="s">
        <v>17</v>
      </c>
      <c r="E263" s="3">
        <v>23.0</v>
      </c>
      <c r="F263" s="3" t="s">
        <v>11</v>
      </c>
      <c r="G263" s="3">
        <v>1.0</v>
      </c>
      <c r="H263" s="3">
        <v>155.0</v>
      </c>
      <c r="I263" s="3">
        <v>155.0</v>
      </c>
      <c r="J263" s="2">
        <f t="shared" si="1"/>
        <v>2025</v>
      </c>
      <c r="K263" s="2">
        <f t="shared" si="2"/>
        <v>3</v>
      </c>
      <c r="L263" s="5" t="str">
        <f t="shared" si="3"/>
        <v>NO</v>
      </c>
    </row>
    <row r="264">
      <c r="A264" s="3">
        <v>263.0</v>
      </c>
      <c r="B264" s="4">
        <v>45916.0</v>
      </c>
      <c r="C264" s="3" t="s">
        <v>281</v>
      </c>
      <c r="D264" s="3" t="s">
        <v>17</v>
      </c>
      <c r="E264" s="3">
        <v>46.0</v>
      </c>
      <c r="F264" s="3" t="s">
        <v>20</v>
      </c>
      <c r="G264" s="3">
        <v>2.0</v>
      </c>
      <c r="H264" s="3">
        <v>30.0</v>
      </c>
      <c r="I264" s="3">
        <v>60.0</v>
      </c>
      <c r="J264" s="2">
        <f t="shared" si="1"/>
        <v>2025</v>
      </c>
      <c r="K264" s="2">
        <f t="shared" si="2"/>
        <v>9</v>
      </c>
      <c r="L264" s="5" t="str">
        <f t="shared" si="3"/>
        <v>NO</v>
      </c>
    </row>
    <row r="265">
      <c r="A265" s="3">
        <v>264.0</v>
      </c>
      <c r="B265" s="4">
        <v>45926.0</v>
      </c>
      <c r="C265" s="3" t="s">
        <v>282</v>
      </c>
      <c r="D265" s="3" t="s">
        <v>17</v>
      </c>
      <c r="E265" s="3">
        <v>41.0</v>
      </c>
      <c r="F265" s="3" t="s">
        <v>15</v>
      </c>
      <c r="G265" s="3">
        <v>2.0</v>
      </c>
      <c r="H265" s="3">
        <v>415.0</v>
      </c>
      <c r="I265" s="3">
        <v>830.0</v>
      </c>
      <c r="J265" s="2">
        <f t="shared" si="1"/>
        <v>2025</v>
      </c>
      <c r="K265" s="2">
        <f t="shared" si="2"/>
        <v>9</v>
      </c>
      <c r="L265" s="5" t="str">
        <f t="shared" si="3"/>
        <v>NO</v>
      </c>
    </row>
    <row r="266">
      <c r="A266" s="3">
        <v>265.0</v>
      </c>
      <c r="B266" s="4">
        <v>45802.0</v>
      </c>
      <c r="C266" s="3" t="s">
        <v>283</v>
      </c>
      <c r="D266" s="3" t="s">
        <v>10</v>
      </c>
      <c r="E266" s="3">
        <v>58.0</v>
      </c>
      <c r="F266" s="3" t="s">
        <v>54</v>
      </c>
      <c r="G266" s="3">
        <v>3.0</v>
      </c>
      <c r="H266" s="3">
        <v>70.0</v>
      </c>
      <c r="I266" s="3">
        <v>210.0</v>
      </c>
      <c r="J266" s="2">
        <f t="shared" si="1"/>
        <v>2025</v>
      </c>
      <c r="K266" s="2">
        <f t="shared" si="2"/>
        <v>5</v>
      </c>
      <c r="L266" s="5" t="str">
        <f t="shared" si="3"/>
        <v>NO</v>
      </c>
    </row>
    <row r="267">
      <c r="A267" s="3">
        <v>266.0</v>
      </c>
      <c r="B267" s="4">
        <v>45989.0</v>
      </c>
      <c r="C267" s="3" t="s">
        <v>284</v>
      </c>
      <c r="D267" s="3" t="s">
        <v>10</v>
      </c>
      <c r="E267" s="3">
        <v>53.0</v>
      </c>
      <c r="F267" s="3" t="s">
        <v>22</v>
      </c>
      <c r="G267" s="3">
        <v>3.0</v>
      </c>
      <c r="H267" s="3">
        <v>265.0</v>
      </c>
      <c r="I267" s="3">
        <v>795.0</v>
      </c>
      <c r="J267" s="2">
        <f t="shared" si="1"/>
        <v>2025</v>
      </c>
      <c r="K267" s="2">
        <f t="shared" si="2"/>
        <v>11</v>
      </c>
      <c r="L267" s="5" t="str">
        <f t="shared" si="3"/>
        <v>NO</v>
      </c>
    </row>
    <row r="268">
      <c r="A268" s="3">
        <v>267.0</v>
      </c>
      <c r="B268" s="4">
        <v>46005.0</v>
      </c>
      <c r="C268" s="3" t="s">
        <v>285</v>
      </c>
      <c r="D268" s="3" t="s">
        <v>10</v>
      </c>
      <c r="E268" s="3">
        <v>39.0</v>
      </c>
      <c r="F268" s="3" t="s">
        <v>54</v>
      </c>
      <c r="G268" s="3">
        <v>3.0</v>
      </c>
      <c r="H268" s="3">
        <v>50.0</v>
      </c>
      <c r="I268" s="3">
        <v>150.0</v>
      </c>
      <c r="J268" s="2">
        <f t="shared" si="1"/>
        <v>2025</v>
      </c>
      <c r="K268" s="2">
        <f t="shared" si="2"/>
        <v>12</v>
      </c>
      <c r="L268" s="5" t="str">
        <f t="shared" si="3"/>
        <v>NO</v>
      </c>
    </row>
    <row r="269">
      <c r="A269" s="3">
        <v>268.0</v>
      </c>
      <c r="B269" s="4">
        <v>45699.0</v>
      </c>
      <c r="C269" s="3" t="s">
        <v>286</v>
      </c>
      <c r="D269" s="3" t="s">
        <v>17</v>
      </c>
      <c r="E269" s="3">
        <v>37.0</v>
      </c>
      <c r="F269" s="3" t="s">
        <v>15</v>
      </c>
      <c r="G269" s="3">
        <v>2.0</v>
      </c>
      <c r="H269" s="3">
        <v>445.0</v>
      </c>
      <c r="I269" s="3">
        <v>890.0</v>
      </c>
      <c r="J269" s="2">
        <f t="shared" si="1"/>
        <v>2025</v>
      </c>
      <c r="K269" s="2">
        <f t="shared" si="2"/>
        <v>2</v>
      </c>
      <c r="L269" s="5" t="str">
        <f t="shared" si="3"/>
        <v>NO</v>
      </c>
    </row>
    <row r="270">
      <c r="A270" s="3">
        <v>269.0</v>
      </c>
      <c r="B270" s="4">
        <v>45993.0</v>
      </c>
      <c r="C270" s="3" t="s">
        <v>287</v>
      </c>
      <c r="D270" s="3" t="s">
        <v>10</v>
      </c>
      <c r="E270" s="3">
        <v>37.0</v>
      </c>
      <c r="F270" s="3" t="s">
        <v>54</v>
      </c>
      <c r="G270" s="3">
        <v>5.0</v>
      </c>
      <c r="H270" s="3">
        <v>25.0</v>
      </c>
      <c r="I270" s="3">
        <v>125.0</v>
      </c>
      <c r="J270" s="2">
        <f t="shared" si="1"/>
        <v>2025</v>
      </c>
      <c r="K270" s="2">
        <f t="shared" si="2"/>
        <v>12</v>
      </c>
      <c r="L270" s="5" t="str">
        <f t="shared" si="3"/>
        <v>NO</v>
      </c>
    </row>
    <row r="271">
      <c r="A271" s="3">
        <v>270.0</v>
      </c>
      <c r="B271" s="4">
        <v>45944.0</v>
      </c>
      <c r="C271" s="3" t="s">
        <v>288</v>
      </c>
      <c r="D271" s="3" t="s">
        <v>10</v>
      </c>
      <c r="E271" s="3">
        <v>60.0</v>
      </c>
      <c r="F271" s="3" t="s">
        <v>54</v>
      </c>
      <c r="G271" s="3">
        <v>3.0</v>
      </c>
      <c r="H271" s="3">
        <v>105.0</v>
      </c>
      <c r="I271" s="3">
        <v>315.0</v>
      </c>
      <c r="J271" s="2">
        <f t="shared" si="1"/>
        <v>2025</v>
      </c>
      <c r="K271" s="2">
        <f t="shared" si="2"/>
        <v>10</v>
      </c>
      <c r="L271" s="5" t="str">
        <f t="shared" si="3"/>
        <v>NO</v>
      </c>
    </row>
    <row r="272">
      <c r="A272" s="3">
        <v>271.0</v>
      </c>
      <c r="B272" s="4">
        <v>46017.0</v>
      </c>
      <c r="C272" s="3" t="s">
        <v>289</v>
      </c>
      <c r="D272" s="3" t="s">
        <v>17</v>
      </c>
      <c r="E272" s="3">
        <v>19.0</v>
      </c>
      <c r="F272" s="3" t="s">
        <v>15</v>
      </c>
      <c r="G272" s="3">
        <v>4.0</v>
      </c>
      <c r="H272" s="3">
        <v>80.0</v>
      </c>
      <c r="I272" s="3">
        <v>320.0</v>
      </c>
      <c r="J272" s="2">
        <f t="shared" si="1"/>
        <v>2025</v>
      </c>
      <c r="K272" s="2">
        <f t="shared" si="2"/>
        <v>12</v>
      </c>
      <c r="L272" s="5" t="str">
        <f t="shared" si="3"/>
        <v>NO</v>
      </c>
    </row>
    <row r="273">
      <c r="A273" s="3">
        <v>272.0</v>
      </c>
      <c r="B273" s="4">
        <v>45843.0</v>
      </c>
      <c r="C273" s="3" t="s">
        <v>290</v>
      </c>
      <c r="D273" s="3" t="s">
        <v>17</v>
      </c>
      <c r="E273" s="3">
        <v>49.0</v>
      </c>
      <c r="F273" s="3" t="s">
        <v>22</v>
      </c>
      <c r="G273" s="3">
        <v>2.0</v>
      </c>
      <c r="H273" s="3">
        <v>560.0</v>
      </c>
      <c r="I273" s="3">
        <v>1120.0</v>
      </c>
      <c r="J273" s="2">
        <f t="shared" si="1"/>
        <v>2025</v>
      </c>
      <c r="K273" s="2">
        <f t="shared" si="2"/>
        <v>7</v>
      </c>
      <c r="L273" s="5" t="str">
        <f t="shared" si="3"/>
        <v>YES</v>
      </c>
    </row>
    <row r="274">
      <c r="A274" s="3">
        <v>273.0</v>
      </c>
      <c r="B274" s="4">
        <v>45756.0</v>
      </c>
      <c r="C274" s="3" t="s">
        <v>291</v>
      </c>
      <c r="D274" s="3" t="s">
        <v>10</v>
      </c>
      <c r="E274" s="3">
        <v>36.0</v>
      </c>
      <c r="F274" s="3" t="s">
        <v>20</v>
      </c>
      <c r="G274" s="3">
        <v>2.0</v>
      </c>
      <c r="H274" s="3">
        <v>60.0</v>
      </c>
      <c r="I274" s="3">
        <v>120.0</v>
      </c>
      <c r="J274" s="2">
        <f t="shared" si="1"/>
        <v>2025</v>
      </c>
      <c r="K274" s="2">
        <f t="shared" si="2"/>
        <v>4</v>
      </c>
      <c r="L274" s="5" t="str">
        <f t="shared" si="3"/>
        <v>NO</v>
      </c>
    </row>
    <row r="275">
      <c r="A275" s="3">
        <v>274.0</v>
      </c>
      <c r="B275" s="4">
        <v>45709.0</v>
      </c>
      <c r="C275" s="3" t="s">
        <v>292</v>
      </c>
      <c r="D275" s="3" t="s">
        <v>10</v>
      </c>
      <c r="E275" s="3">
        <v>60.0</v>
      </c>
      <c r="F275" s="3" t="s">
        <v>15</v>
      </c>
      <c r="G275" s="3">
        <v>5.0</v>
      </c>
      <c r="H275" s="3">
        <v>370.0</v>
      </c>
      <c r="I275" s="3">
        <v>1850.0</v>
      </c>
      <c r="J275" s="2">
        <f t="shared" si="1"/>
        <v>2025</v>
      </c>
      <c r="K275" s="2">
        <f t="shared" si="2"/>
        <v>2</v>
      </c>
      <c r="L275" s="5" t="str">
        <f t="shared" si="3"/>
        <v>YES</v>
      </c>
    </row>
    <row r="276">
      <c r="A276" s="3">
        <v>275.0</v>
      </c>
      <c r="B276" s="4">
        <v>45830.0</v>
      </c>
      <c r="C276" s="3" t="s">
        <v>293</v>
      </c>
      <c r="D276" s="3" t="s">
        <v>17</v>
      </c>
      <c r="E276" s="3">
        <v>27.0</v>
      </c>
      <c r="F276" s="3" t="s">
        <v>15</v>
      </c>
      <c r="G276" s="3">
        <v>5.0</v>
      </c>
      <c r="H276" s="3">
        <v>105.0</v>
      </c>
      <c r="I276" s="3">
        <v>525.0</v>
      </c>
      <c r="J276" s="2">
        <f t="shared" si="1"/>
        <v>2025</v>
      </c>
      <c r="K276" s="2">
        <f t="shared" si="2"/>
        <v>6</v>
      </c>
      <c r="L276" s="5" t="str">
        <f t="shared" si="3"/>
        <v>NO</v>
      </c>
    </row>
    <row r="277">
      <c r="A277" s="3">
        <v>276.0</v>
      </c>
      <c r="B277" s="4">
        <v>45741.0</v>
      </c>
      <c r="C277" s="3" t="s">
        <v>294</v>
      </c>
      <c r="D277" s="3" t="s">
        <v>10</v>
      </c>
      <c r="E277" s="3">
        <v>44.0</v>
      </c>
      <c r="F277" s="3" t="s">
        <v>20</v>
      </c>
      <c r="G277" s="3">
        <v>4.0</v>
      </c>
      <c r="H277" s="3">
        <v>70.0</v>
      </c>
      <c r="I277" s="3">
        <v>280.0</v>
      </c>
      <c r="J277" s="2">
        <f t="shared" si="1"/>
        <v>2025</v>
      </c>
      <c r="K277" s="2">
        <f t="shared" si="2"/>
        <v>3</v>
      </c>
      <c r="L277" s="5" t="str">
        <f t="shared" si="3"/>
        <v>NO</v>
      </c>
    </row>
    <row r="278">
      <c r="A278" s="3">
        <v>277.0</v>
      </c>
      <c r="B278" s="4">
        <v>45844.0</v>
      </c>
      <c r="C278" s="3" t="s">
        <v>295</v>
      </c>
      <c r="D278" s="3" t="s">
        <v>17</v>
      </c>
      <c r="E278" s="3">
        <v>46.0</v>
      </c>
      <c r="F278" s="3" t="s">
        <v>20</v>
      </c>
      <c r="G278" s="3">
        <v>5.0</v>
      </c>
      <c r="H278" s="3">
        <v>160.0</v>
      </c>
      <c r="I278" s="3">
        <v>800.0</v>
      </c>
      <c r="J278" s="2">
        <f t="shared" si="1"/>
        <v>2025</v>
      </c>
      <c r="K278" s="2">
        <f t="shared" si="2"/>
        <v>7</v>
      </c>
      <c r="L278" s="5" t="str">
        <f t="shared" si="3"/>
        <v>NO</v>
      </c>
    </row>
    <row r="279">
      <c r="A279" s="3">
        <v>278.0</v>
      </c>
      <c r="B279" s="4">
        <v>45777.0</v>
      </c>
      <c r="C279" s="3" t="s">
        <v>296</v>
      </c>
      <c r="D279" s="3" t="s">
        <v>17</v>
      </c>
      <c r="E279" s="3">
        <v>30.0</v>
      </c>
      <c r="F279" s="3" t="s">
        <v>15</v>
      </c>
      <c r="G279" s="3">
        <v>3.0</v>
      </c>
      <c r="H279" s="3">
        <v>175.0</v>
      </c>
      <c r="I279" s="3">
        <v>525.0</v>
      </c>
      <c r="J279" s="2">
        <f t="shared" si="1"/>
        <v>2025</v>
      </c>
      <c r="K279" s="2">
        <f t="shared" si="2"/>
        <v>4</v>
      </c>
      <c r="L279" s="5" t="str">
        <f t="shared" si="3"/>
        <v>NO</v>
      </c>
    </row>
    <row r="280">
      <c r="A280" s="3">
        <v>279.0</v>
      </c>
      <c r="B280" s="4">
        <v>45846.0</v>
      </c>
      <c r="C280" s="3" t="s">
        <v>297</v>
      </c>
      <c r="D280" s="3" t="s">
        <v>17</v>
      </c>
      <c r="E280" s="3">
        <v>42.0</v>
      </c>
      <c r="F280" s="3" t="s">
        <v>15</v>
      </c>
      <c r="G280" s="3">
        <v>4.0</v>
      </c>
      <c r="H280" s="3">
        <v>305.0</v>
      </c>
      <c r="I280" s="3">
        <v>1220.0</v>
      </c>
      <c r="J280" s="2">
        <f t="shared" si="1"/>
        <v>2025</v>
      </c>
      <c r="K280" s="2">
        <f t="shared" si="2"/>
        <v>7</v>
      </c>
      <c r="L280" s="5" t="str">
        <f t="shared" si="3"/>
        <v>YES</v>
      </c>
    </row>
    <row r="281">
      <c r="A281" s="3">
        <v>280.0</v>
      </c>
      <c r="B281" s="4">
        <v>45915.0</v>
      </c>
      <c r="C281" s="3" t="s">
        <v>298</v>
      </c>
      <c r="D281" s="3" t="s">
        <v>10</v>
      </c>
      <c r="E281" s="3">
        <v>56.0</v>
      </c>
      <c r="F281" s="3" t="s">
        <v>15</v>
      </c>
      <c r="G281" s="3">
        <v>2.0</v>
      </c>
      <c r="H281" s="3">
        <v>290.0</v>
      </c>
      <c r="I281" s="3">
        <v>580.0</v>
      </c>
      <c r="J281" s="2">
        <f t="shared" si="1"/>
        <v>2025</v>
      </c>
      <c r="K281" s="2">
        <f t="shared" si="2"/>
        <v>9</v>
      </c>
      <c r="L281" s="5" t="str">
        <f t="shared" si="3"/>
        <v>NO</v>
      </c>
    </row>
    <row r="282">
      <c r="A282" s="3">
        <v>281.0</v>
      </c>
      <c r="B282" s="4">
        <v>45728.0</v>
      </c>
      <c r="C282" s="3" t="s">
        <v>299</v>
      </c>
      <c r="D282" s="3" t="s">
        <v>17</v>
      </c>
      <c r="E282" s="3">
        <v>53.0</v>
      </c>
      <c r="F282" s="3" t="s">
        <v>22</v>
      </c>
      <c r="G282" s="3">
        <v>4.0</v>
      </c>
      <c r="H282" s="3">
        <v>230.0</v>
      </c>
      <c r="I282" s="3">
        <v>920.0</v>
      </c>
      <c r="J282" s="2">
        <f t="shared" si="1"/>
        <v>2025</v>
      </c>
      <c r="K282" s="2">
        <f t="shared" si="2"/>
        <v>3</v>
      </c>
      <c r="L282" s="5" t="str">
        <f t="shared" si="3"/>
        <v>NO</v>
      </c>
    </row>
    <row r="283">
      <c r="A283" s="3">
        <v>282.0</v>
      </c>
      <c r="B283" s="4">
        <v>45710.0</v>
      </c>
      <c r="C283" s="3" t="s">
        <v>300</v>
      </c>
      <c r="D283" s="3" t="s">
        <v>10</v>
      </c>
      <c r="E283" s="3">
        <v>28.0</v>
      </c>
      <c r="F283" s="3" t="s">
        <v>15</v>
      </c>
      <c r="G283" s="3">
        <v>3.0</v>
      </c>
      <c r="H283" s="3">
        <v>100.0</v>
      </c>
      <c r="I283" s="3">
        <v>300.0</v>
      </c>
      <c r="J283" s="2">
        <f t="shared" si="1"/>
        <v>2025</v>
      </c>
      <c r="K283" s="2">
        <f t="shared" si="2"/>
        <v>2</v>
      </c>
      <c r="L283" s="5" t="str">
        <f t="shared" si="3"/>
        <v>NO</v>
      </c>
    </row>
    <row r="284">
      <c r="A284" s="3">
        <v>283.0</v>
      </c>
      <c r="B284" s="4">
        <v>45797.0</v>
      </c>
      <c r="C284" s="3" t="s">
        <v>301</v>
      </c>
      <c r="D284" s="3" t="s">
        <v>17</v>
      </c>
      <c r="E284" s="3">
        <v>23.0</v>
      </c>
      <c r="F284" s="3" t="s">
        <v>54</v>
      </c>
      <c r="G284" s="3">
        <v>2.0</v>
      </c>
      <c r="H284" s="3">
        <v>85.0</v>
      </c>
      <c r="I284" s="3">
        <v>170.0</v>
      </c>
      <c r="J284" s="2">
        <f t="shared" si="1"/>
        <v>2025</v>
      </c>
      <c r="K284" s="2">
        <f t="shared" si="2"/>
        <v>5</v>
      </c>
      <c r="L284" s="5" t="str">
        <f t="shared" si="3"/>
        <v>NO</v>
      </c>
    </row>
    <row r="285">
      <c r="A285" s="3">
        <v>284.0</v>
      </c>
      <c r="B285" s="4">
        <v>45771.0</v>
      </c>
      <c r="C285" s="3" t="s">
        <v>302</v>
      </c>
      <c r="D285" s="3" t="s">
        <v>17</v>
      </c>
      <c r="E285" s="3">
        <v>21.0</v>
      </c>
      <c r="F285" s="3" t="s">
        <v>54</v>
      </c>
      <c r="G285" s="3">
        <v>1.0</v>
      </c>
      <c r="H285" s="3">
        <v>60.0</v>
      </c>
      <c r="I285" s="3">
        <v>60.0</v>
      </c>
      <c r="J285" s="2">
        <f t="shared" si="1"/>
        <v>2025</v>
      </c>
      <c r="K285" s="2">
        <f t="shared" si="2"/>
        <v>4</v>
      </c>
      <c r="L285" s="5" t="str">
        <f t="shared" si="3"/>
        <v>NO</v>
      </c>
    </row>
    <row r="286">
      <c r="A286" s="3">
        <v>285.0</v>
      </c>
      <c r="B286" s="4">
        <v>45860.0</v>
      </c>
      <c r="C286" s="3" t="s">
        <v>303</v>
      </c>
      <c r="D286" s="3" t="s">
        <v>17</v>
      </c>
      <c r="E286" s="3">
        <v>23.0</v>
      </c>
      <c r="F286" s="3" t="s">
        <v>15</v>
      </c>
      <c r="G286" s="3">
        <v>2.0</v>
      </c>
      <c r="H286" s="3">
        <v>260.0</v>
      </c>
      <c r="I286" s="3">
        <v>520.0</v>
      </c>
      <c r="J286" s="2">
        <f t="shared" si="1"/>
        <v>2025</v>
      </c>
      <c r="K286" s="2">
        <f t="shared" si="2"/>
        <v>7</v>
      </c>
      <c r="L286" s="5" t="str">
        <f t="shared" si="3"/>
        <v>NO</v>
      </c>
    </row>
    <row r="287">
      <c r="A287" s="3">
        <v>286.0</v>
      </c>
      <c r="B287" s="4">
        <v>45849.0</v>
      </c>
      <c r="C287" s="3" t="s">
        <v>304</v>
      </c>
      <c r="D287" s="3" t="s">
        <v>10</v>
      </c>
      <c r="E287" s="3">
        <v>59.0</v>
      </c>
      <c r="F287" s="3" t="s">
        <v>20</v>
      </c>
      <c r="G287" s="3">
        <v>3.0</v>
      </c>
      <c r="H287" s="3">
        <v>25.0</v>
      </c>
      <c r="I287" s="3">
        <v>75.0</v>
      </c>
      <c r="J287" s="2">
        <f t="shared" si="1"/>
        <v>2025</v>
      </c>
      <c r="K287" s="2">
        <f t="shared" si="2"/>
        <v>7</v>
      </c>
      <c r="L287" s="5" t="str">
        <f t="shared" si="3"/>
        <v>NO</v>
      </c>
    </row>
    <row r="288">
      <c r="A288" s="3">
        <v>287.0</v>
      </c>
      <c r="B288" s="4">
        <v>45829.0</v>
      </c>
      <c r="C288" s="3" t="s">
        <v>305</v>
      </c>
      <c r="D288" s="3" t="s">
        <v>17</v>
      </c>
      <c r="E288" s="3">
        <v>48.0</v>
      </c>
      <c r="F288" s="3" t="s">
        <v>20</v>
      </c>
      <c r="G288" s="3">
        <v>1.0</v>
      </c>
      <c r="H288" s="3">
        <v>60.0</v>
      </c>
      <c r="I288" s="3">
        <v>60.0</v>
      </c>
      <c r="J288" s="2">
        <f t="shared" si="1"/>
        <v>2025</v>
      </c>
      <c r="K288" s="2">
        <f t="shared" si="2"/>
        <v>6</v>
      </c>
      <c r="L288" s="5" t="str">
        <f t="shared" si="3"/>
        <v>NO</v>
      </c>
    </row>
    <row r="289">
      <c r="A289" s="3">
        <v>288.0</v>
      </c>
      <c r="B289" s="4">
        <v>46014.0</v>
      </c>
      <c r="C289" s="3" t="s">
        <v>306</v>
      </c>
      <c r="D289" s="3" t="s">
        <v>10</v>
      </c>
      <c r="E289" s="3">
        <v>23.0</v>
      </c>
      <c r="F289" s="3" t="s">
        <v>20</v>
      </c>
      <c r="G289" s="3">
        <v>4.0</v>
      </c>
      <c r="H289" s="3">
        <v>170.0</v>
      </c>
      <c r="I289" s="3">
        <v>680.0</v>
      </c>
      <c r="J289" s="2">
        <f t="shared" si="1"/>
        <v>2025</v>
      </c>
      <c r="K289" s="2">
        <f t="shared" si="2"/>
        <v>12</v>
      </c>
      <c r="L289" s="5" t="str">
        <f t="shared" si="3"/>
        <v>NO</v>
      </c>
    </row>
    <row r="290">
      <c r="A290" s="3">
        <v>289.0</v>
      </c>
      <c r="B290" s="4">
        <v>45667.0</v>
      </c>
      <c r="C290" s="3" t="s">
        <v>307</v>
      </c>
      <c r="D290" s="3" t="s">
        <v>17</v>
      </c>
      <c r="E290" s="3">
        <v>25.0</v>
      </c>
      <c r="F290" s="3" t="s">
        <v>22</v>
      </c>
      <c r="G290" s="3">
        <v>2.0</v>
      </c>
      <c r="H290" s="3">
        <v>650.0</v>
      </c>
      <c r="I290" s="3">
        <v>1300.0</v>
      </c>
      <c r="J290" s="2">
        <f t="shared" si="1"/>
        <v>2025</v>
      </c>
      <c r="K290" s="2">
        <f t="shared" si="2"/>
        <v>1</v>
      </c>
      <c r="L290" s="5" t="str">
        <f t="shared" si="3"/>
        <v>YES</v>
      </c>
    </row>
    <row r="291">
      <c r="A291" s="3">
        <v>290.0</v>
      </c>
      <c r="B291" s="4">
        <v>45805.0</v>
      </c>
      <c r="C291" s="3" t="s">
        <v>308</v>
      </c>
      <c r="D291" s="3" t="s">
        <v>10</v>
      </c>
      <c r="E291" s="3">
        <v>33.0</v>
      </c>
      <c r="F291" s="3" t="s">
        <v>20</v>
      </c>
      <c r="G291" s="3">
        <v>1.0</v>
      </c>
      <c r="H291" s="3">
        <v>115.0</v>
      </c>
      <c r="I291" s="3">
        <v>115.0</v>
      </c>
      <c r="J291" s="2">
        <f t="shared" si="1"/>
        <v>2025</v>
      </c>
      <c r="K291" s="2">
        <f t="shared" si="2"/>
        <v>5</v>
      </c>
      <c r="L291" s="5" t="str">
        <f t="shared" si="3"/>
        <v>NO</v>
      </c>
    </row>
    <row r="292">
      <c r="A292" s="3">
        <v>291.0</v>
      </c>
      <c r="B292" s="4">
        <v>45872.0</v>
      </c>
      <c r="C292" s="3" t="s">
        <v>309</v>
      </c>
      <c r="D292" s="3" t="s">
        <v>10</v>
      </c>
      <c r="E292" s="3">
        <v>49.0</v>
      </c>
      <c r="F292" s="3" t="s">
        <v>15</v>
      </c>
      <c r="G292" s="3">
        <v>1.0</v>
      </c>
      <c r="H292" s="3">
        <v>315.0</v>
      </c>
      <c r="I292" s="3">
        <v>315.0</v>
      </c>
      <c r="J292" s="2">
        <f t="shared" si="1"/>
        <v>2025</v>
      </c>
      <c r="K292" s="2">
        <f t="shared" si="2"/>
        <v>8</v>
      </c>
      <c r="L292" s="5" t="str">
        <f t="shared" si="3"/>
        <v>NO</v>
      </c>
    </row>
    <row r="293">
      <c r="A293" s="3">
        <v>292.0</v>
      </c>
      <c r="B293" s="4">
        <v>45963.0</v>
      </c>
      <c r="C293" s="3" t="s">
        <v>310</v>
      </c>
      <c r="D293" s="3" t="s">
        <v>10</v>
      </c>
      <c r="E293" s="3">
        <v>27.0</v>
      </c>
      <c r="F293" s="3" t="s">
        <v>15</v>
      </c>
      <c r="G293" s="3">
        <v>5.0</v>
      </c>
      <c r="H293" s="3">
        <v>35.0</v>
      </c>
      <c r="I293" s="3">
        <v>175.0</v>
      </c>
      <c r="J293" s="2">
        <f t="shared" si="1"/>
        <v>2025</v>
      </c>
      <c r="K293" s="2">
        <f t="shared" si="2"/>
        <v>11</v>
      </c>
      <c r="L293" s="5" t="str">
        <f t="shared" si="3"/>
        <v>NO</v>
      </c>
    </row>
    <row r="294">
      <c r="A294" s="3">
        <v>293.0</v>
      </c>
      <c r="B294" s="4">
        <v>45807.0</v>
      </c>
      <c r="C294" s="3" t="s">
        <v>311</v>
      </c>
      <c r="D294" s="3" t="s">
        <v>17</v>
      </c>
      <c r="E294" s="3">
        <v>33.0</v>
      </c>
      <c r="F294" s="3" t="s">
        <v>54</v>
      </c>
      <c r="G294" s="3">
        <v>5.0</v>
      </c>
      <c r="H294" s="3">
        <v>5.0</v>
      </c>
      <c r="I294" s="3">
        <v>25.0</v>
      </c>
      <c r="J294" s="2">
        <f t="shared" si="1"/>
        <v>2025</v>
      </c>
      <c r="K294" s="2">
        <f t="shared" si="2"/>
        <v>5</v>
      </c>
      <c r="L294" s="5" t="str">
        <f t="shared" si="3"/>
        <v>NO</v>
      </c>
    </row>
    <row r="295">
      <c r="A295" s="3">
        <v>294.0</v>
      </c>
      <c r="B295" s="4">
        <v>45950.0</v>
      </c>
      <c r="C295" s="3" t="s">
        <v>312</v>
      </c>
      <c r="D295" s="3" t="s">
        <v>17</v>
      </c>
      <c r="E295" s="3">
        <v>22.0</v>
      </c>
      <c r="F295" s="3" t="s">
        <v>54</v>
      </c>
      <c r="G295" s="3">
        <v>1.0</v>
      </c>
      <c r="H295" s="3">
        <v>30.0</v>
      </c>
      <c r="I295" s="3">
        <v>30.0</v>
      </c>
      <c r="J295" s="2">
        <f t="shared" si="1"/>
        <v>2025</v>
      </c>
      <c r="K295" s="2">
        <f t="shared" si="2"/>
        <v>10</v>
      </c>
      <c r="L295" s="5" t="str">
        <f t="shared" si="3"/>
        <v>NO</v>
      </c>
    </row>
    <row r="296">
      <c r="A296" s="3">
        <v>295.0</v>
      </c>
      <c r="B296" s="4">
        <v>45927.0</v>
      </c>
      <c r="C296" s="3" t="s">
        <v>313</v>
      </c>
      <c r="D296" s="3" t="s">
        <v>10</v>
      </c>
      <c r="E296" s="3">
        <v>42.0</v>
      </c>
      <c r="F296" s="3" t="s">
        <v>15</v>
      </c>
      <c r="G296" s="3">
        <v>5.0</v>
      </c>
      <c r="H296" s="3">
        <v>345.0</v>
      </c>
      <c r="I296" s="3">
        <v>1725.0</v>
      </c>
      <c r="J296" s="2">
        <f t="shared" si="1"/>
        <v>2025</v>
      </c>
      <c r="K296" s="2">
        <f t="shared" si="2"/>
        <v>9</v>
      </c>
      <c r="L296" s="5" t="str">
        <f t="shared" si="3"/>
        <v>YES</v>
      </c>
    </row>
    <row r="297">
      <c r="A297" s="3">
        <v>296.0</v>
      </c>
      <c r="B297" s="4">
        <v>45898.0</v>
      </c>
      <c r="C297" s="3" t="s">
        <v>314</v>
      </c>
      <c r="D297" s="3" t="s">
        <v>17</v>
      </c>
      <c r="E297" s="3">
        <v>34.0</v>
      </c>
      <c r="F297" s="3" t="s">
        <v>11</v>
      </c>
      <c r="G297" s="3">
        <v>4.0</v>
      </c>
      <c r="H297" s="3">
        <v>215.0</v>
      </c>
      <c r="I297" s="3">
        <v>860.0</v>
      </c>
      <c r="J297" s="2">
        <f t="shared" si="1"/>
        <v>2025</v>
      </c>
      <c r="K297" s="2">
        <f t="shared" si="2"/>
        <v>8</v>
      </c>
      <c r="L297" s="5" t="str">
        <f t="shared" si="3"/>
        <v>NO</v>
      </c>
    </row>
    <row r="298">
      <c r="A298" s="3">
        <v>297.0</v>
      </c>
      <c r="B298" s="4">
        <v>45666.0</v>
      </c>
      <c r="C298" s="3" t="s">
        <v>315</v>
      </c>
      <c r="D298" s="3" t="s">
        <v>10</v>
      </c>
      <c r="E298" s="3">
        <v>60.0</v>
      </c>
      <c r="F298" s="3" t="s">
        <v>22</v>
      </c>
      <c r="G298" s="3">
        <v>3.0</v>
      </c>
      <c r="H298" s="3">
        <v>270.0</v>
      </c>
      <c r="I298" s="3">
        <v>810.0</v>
      </c>
      <c r="J298" s="2">
        <f t="shared" si="1"/>
        <v>2025</v>
      </c>
      <c r="K298" s="2">
        <f t="shared" si="2"/>
        <v>1</v>
      </c>
      <c r="L298" s="5" t="str">
        <f t="shared" si="3"/>
        <v>NO</v>
      </c>
    </row>
    <row r="299">
      <c r="A299" s="3">
        <v>298.0</v>
      </c>
      <c r="B299" s="4">
        <v>45979.0</v>
      </c>
      <c r="C299" s="3" t="s">
        <v>316</v>
      </c>
      <c r="D299" s="3" t="s">
        <v>10</v>
      </c>
      <c r="E299" s="3">
        <v>20.0</v>
      </c>
      <c r="F299" s="3" t="s">
        <v>11</v>
      </c>
      <c r="G299" s="3">
        <v>3.0</v>
      </c>
      <c r="H299" s="3">
        <v>200.0</v>
      </c>
      <c r="I299" s="3">
        <v>600.0</v>
      </c>
      <c r="J299" s="2">
        <f t="shared" si="1"/>
        <v>2025</v>
      </c>
      <c r="K299" s="2">
        <f t="shared" si="2"/>
        <v>11</v>
      </c>
      <c r="L299" s="5" t="str">
        <f t="shared" si="3"/>
        <v>NO</v>
      </c>
    </row>
    <row r="300">
      <c r="A300" s="3">
        <v>299.0</v>
      </c>
      <c r="B300" s="4">
        <v>45838.0</v>
      </c>
      <c r="C300" s="3" t="s">
        <v>317</v>
      </c>
      <c r="D300" s="3" t="s">
        <v>17</v>
      </c>
      <c r="E300" s="3">
        <v>48.0</v>
      </c>
      <c r="F300" s="3" t="s">
        <v>15</v>
      </c>
      <c r="G300" s="3">
        <v>2.0</v>
      </c>
      <c r="H300" s="3">
        <v>240.0</v>
      </c>
      <c r="I300" s="3">
        <v>480.0</v>
      </c>
      <c r="J300" s="2">
        <f t="shared" si="1"/>
        <v>2025</v>
      </c>
      <c r="K300" s="2">
        <f t="shared" si="2"/>
        <v>6</v>
      </c>
      <c r="L300" s="5" t="str">
        <f t="shared" si="3"/>
        <v>NO</v>
      </c>
    </row>
    <row r="301">
      <c r="A301" s="3">
        <v>300.0</v>
      </c>
      <c r="B301" s="4">
        <v>45981.0</v>
      </c>
      <c r="C301" s="3" t="s">
        <v>318</v>
      </c>
      <c r="D301" s="3" t="s">
        <v>17</v>
      </c>
      <c r="E301" s="3">
        <v>20.0</v>
      </c>
      <c r="F301" s="3" t="s">
        <v>20</v>
      </c>
      <c r="G301" s="3">
        <v>1.0</v>
      </c>
      <c r="H301" s="3">
        <v>60.0</v>
      </c>
      <c r="I301" s="3">
        <v>60.0</v>
      </c>
      <c r="J301" s="2">
        <f t="shared" si="1"/>
        <v>2025</v>
      </c>
      <c r="K301" s="2">
        <f t="shared" si="2"/>
        <v>11</v>
      </c>
      <c r="L301" s="5" t="str">
        <f t="shared" si="3"/>
        <v>NO</v>
      </c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</sheetData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</sheetData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327</v>
      </c>
    </row>
    <row r="3">
      <c r="A3" s="8" t="s">
        <v>323</v>
      </c>
      <c r="C3" s="8" t="s">
        <v>328</v>
      </c>
      <c r="E3" s="8" t="s">
        <v>329</v>
      </c>
      <c r="G3" s="8" t="s">
        <v>330</v>
      </c>
    </row>
    <row r="4">
      <c r="A4" s="9">
        <f>SUM('Raw Data'!I:I)</f>
        <v>274810</v>
      </c>
      <c r="C4" s="10">
        <f>COUNTA('Raw Data'!A:A)-1</f>
        <v>300</v>
      </c>
      <c r="E4" s="11">
        <f>AVERAGE('Raw Data'!I:I)</f>
        <v>916.0333333</v>
      </c>
      <c r="G4" s="12">
        <f>SUM('Raw Data'!G:G)</f>
        <v>912</v>
      </c>
    </row>
  </sheetData>
  <drawing r:id="rId1"/>
</worksheet>
</file>